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suga\.gemini\antigravity\scratch\create-timetable\"/>
    </mc:Choice>
  </mc:AlternateContent>
  <xr:revisionPtr revIDLastSave="0" documentId="13_ncr:1_{7D2EC5E0-5CD6-4B16-A82B-48AC54730352}" xr6:coauthVersionLast="47" xr6:coauthVersionMax="47" xr10:uidLastSave="{00000000-0000-0000-0000-000000000000}"/>
  <bookViews>
    <workbookView xWindow="-120" yWindow="-120" windowWidth="29040" windowHeight="15720" xr2:uid="{F317536C-8130-47EB-BB07-191DD2A1D9B2}"/>
  </bookViews>
  <sheets>
    <sheet name="原本" sheetId="1" r:id="rId1"/>
  </sheets>
  <definedNames>
    <definedName name="_xlnm.Print_Area" localSheetId="0">原本!$A$1:$AG$66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3" i="1" l="1"/>
  <c r="AB3" i="1"/>
  <c r="V3" i="1"/>
  <c r="Q3" i="1"/>
  <c r="K3" i="1"/>
  <c r="E3" i="1"/>
  <c r="T96" i="1"/>
  <c r="AE95" i="1"/>
  <c r="AK94" i="1"/>
  <c r="AA94" i="1"/>
  <c r="Z94" i="1"/>
  <c r="V94" i="1"/>
  <c r="U94" i="1"/>
  <c r="T94" i="1"/>
  <c r="S94" i="1"/>
  <c r="R94" i="1"/>
  <c r="Q94" i="1"/>
  <c r="P94" i="1"/>
  <c r="O94" i="1"/>
  <c r="N94" i="1"/>
  <c r="Y94" i="1"/>
  <c r="AA93" i="1"/>
  <c r="Z93" i="1"/>
  <c r="Y93" i="1"/>
  <c r="X93" i="1"/>
  <c r="W93" i="1"/>
  <c r="V93" i="1"/>
  <c r="U93" i="1"/>
  <c r="T93" i="1"/>
  <c r="K93" i="1"/>
  <c r="AD93" i="1"/>
  <c r="AJ92" i="1"/>
  <c r="AA91" i="1"/>
  <c r="AE90" i="1"/>
  <c r="X90" i="1"/>
  <c r="P89" i="1"/>
  <c r="AI88" i="1"/>
  <c r="AH88" i="1"/>
  <c r="AG88" i="1"/>
  <c r="AF88" i="1"/>
  <c r="AC88" i="1"/>
  <c r="AJ87" i="1"/>
  <c r="AI87" i="1"/>
  <c r="AH87" i="1"/>
  <c r="AG87" i="1"/>
  <c r="L87" i="1"/>
  <c r="K87" i="1"/>
  <c r="J87" i="1"/>
  <c r="I87" i="1"/>
  <c r="H87" i="1"/>
  <c r="G87" i="1"/>
  <c r="F87" i="1"/>
  <c r="E87" i="1"/>
  <c r="AF87" i="1"/>
  <c r="T86" i="1"/>
  <c r="S86" i="1"/>
  <c r="R86" i="1"/>
  <c r="J86" i="1"/>
  <c r="I86" i="1"/>
  <c r="H86" i="1"/>
  <c r="G86" i="1"/>
  <c r="F86" i="1"/>
  <c r="E86" i="1"/>
  <c r="AD86" i="1"/>
  <c r="S85" i="1"/>
  <c r="R85" i="1"/>
  <c r="Q85" i="1"/>
  <c r="P85" i="1"/>
  <c r="O85" i="1"/>
  <c r="N85" i="1"/>
  <c r="M85" i="1"/>
  <c r="L85" i="1"/>
  <c r="AK85" i="1"/>
  <c r="AA84" i="1"/>
  <c r="Z84" i="1"/>
  <c r="V84" i="1"/>
  <c r="U84" i="1"/>
  <c r="T84" i="1"/>
  <c r="S84" i="1"/>
  <c r="R84" i="1"/>
  <c r="Q84" i="1"/>
  <c r="P84" i="1"/>
  <c r="O84" i="1"/>
  <c r="Y84" i="1"/>
  <c r="L83" i="1"/>
  <c r="AK82" i="1"/>
  <c r="AJ82" i="1"/>
  <c r="N82" i="1"/>
  <c r="AD81" i="1"/>
  <c r="AC81" i="1"/>
  <c r="AB81" i="1"/>
  <c r="W81" i="1"/>
  <c r="V81" i="1"/>
  <c r="U81" i="1"/>
  <c r="AA81" i="1"/>
  <c r="AD80" i="1"/>
  <c r="AC80" i="1"/>
  <c r="AB80" i="1"/>
  <c r="AA80" i="1"/>
  <c r="Z80" i="1"/>
  <c r="Y80" i="1"/>
  <c r="X80" i="1"/>
  <c r="E80" i="1"/>
  <c r="AK79" i="1"/>
  <c r="AJ79" i="1"/>
  <c r="AB79" i="1"/>
  <c r="AA79" i="1"/>
  <c r="Z79" i="1"/>
  <c r="Y79" i="1"/>
  <c r="X79" i="1"/>
  <c r="W79" i="1"/>
  <c r="V79" i="1"/>
  <c r="U79" i="1"/>
  <c r="H79" i="1"/>
  <c r="T79" i="1"/>
  <c r="AI78" i="1"/>
  <c r="AH78" i="1"/>
  <c r="AG78" i="1"/>
  <c r="AF78" i="1"/>
  <c r="AE78" i="1"/>
  <c r="AD78" i="1"/>
  <c r="V78" i="1"/>
  <c r="U78" i="1"/>
  <c r="T78" i="1"/>
  <c r="S78" i="1"/>
  <c r="R78" i="1"/>
  <c r="AC78" i="1"/>
  <c r="AI77" i="1"/>
  <c r="AN6" i="1"/>
  <c r="AO6" i="1"/>
  <c r="AP6" i="1"/>
  <c r="AQ6" i="1"/>
  <c r="AR6" i="1"/>
  <c r="AS6" i="1"/>
  <c r="AT6" i="1"/>
  <c r="AU6" i="1"/>
  <c r="AV6" i="1"/>
  <c r="AN7" i="1"/>
  <c r="AO7" i="1"/>
  <c r="AP7" i="1"/>
  <c r="AQ7" i="1"/>
  <c r="AR7" i="1"/>
  <c r="AS7" i="1"/>
  <c r="AT7" i="1"/>
  <c r="AU7" i="1"/>
  <c r="AV7" i="1"/>
  <c r="AN8" i="1"/>
  <c r="AO8" i="1"/>
  <c r="AP8" i="1"/>
  <c r="AQ8" i="1"/>
  <c r="AR8" i="1"/>
  <c r="AS8" i="1"/>
  <c r="AT8" i="1"/>
  <c r="AU8" i="1"/>
  <c r="AV8" i="1"/>
  <c r="AN9" i="1"/>
  <c r="AO9" i="1"/>
  <c r="AP9" i="1"/>
  <c r="AQ9" i="1"/>
  <c r="AR9" i="1"/>
  <c r="AS9" i="1"/>
  <c r="AT9" i="1"/>
  <c r="AU9" i="1"/>
  <c r="AV9" i="1"/>
  <c r="AN10" i="1"/>
  <c r="AO10" i="1"/>
  <c r="AP10" i="1"/>
  <c r="AQ10" i="1"/>
  <c r="AR10" i="1"/>
  <c r="AS10" i="1"/>
  <c r="AT10" i="1"/>
  <c r="AU10" i="1"/>
  <c r="AV10" i="1"/>
  <c r="AN11" i="1"/>
  <c r="AO11" i="1"/>
  <c r="AP11" i="1"/>
  <c r="AQ11" i="1"/>
  <c r="AR11" i="1"/>
  <c r="AS11" i="1"/>
  <c r="AT11" i="1"/>
  <c r="AU11" i="1"/>
  <c r="AV11" i="1"/>
  <c r="AN12" i="1"/>
  <c r="AO12" i="1"/>
  <c r="AP12" i="1"/>
  <c r="AQ12" i="1"/>
  <c r="AR12" i="1"/>
  <c r="AS12" i="1"/>
  <c r="AT12" i="1"/>
  <c r="AU12" i="1"/>
  <c r="AV12" i="1"/>
  <c r="AN13" i="1"/>
  <c r="AO13" i="1"/>
  <c r="AP13" i="1"/>
  <c r="AQ13" i="1"/>
  <c r="AR13" i="1"/>
  <c r="AS13" i="1"/>
  <c r="AT13" i="1"/>
  <c r="AU13" i="1"/>
  <c r="AV13" i="1"/>
  <c r="AN14" i="1"/>
  <c r="AO14" i="1"/>
  <c r="AP14" i="1"/>
  <c r="AQ14" i="1"/>
  <c r="AR14" i="1"/>
  <c r="AS14" i="1"/>
  <c r="AT14" i="1"/>
  <c r="AU14" i="1"/>
  <c r="AV14" i="1"/>
  <c r="AN15" i="1"/>
  <c r="AO15" i="1"/>
  <c r="AP15" i="1"/>
  <c r="AQ15" i="1"/>
  <c r="AR15" i="1"/>
  <c r="AS15" i="1"/>
  <c r="AT15" i="1"/>
  <c r="AU15" i="1"/>
  <c r="AV15" i="1"/>
  <c r="AN16" i="1"/>
  <c r="AO16" i="1"/>
  <c r="AP16" i="1"/>
  <c r="AQ16" i="1"/>
  <c r="AR16" i="1"/>
  <c r="AS16" i="1"/>
  <c r="AT16" i="1"/>
  <c r="AU16" i="1"/>
  <c r="AV16" i="1"/>
  <c r="AN17" i="1"/>
  <c r="AO17" i="1"/>
  <c r="AP17" i="1"/>
  <c r="AQ17" i="1"/>
  <c r="AR17" i="1"/>
  <c r="AS17" i="1"/>
  <c r="AT17" i="1"/>
  <c r="AU17" i="1"/>
  <c r="AV17" i="1"/>
  <c r="AN18" i="1"/>
  <c r="AO18" i="1"/>
  <c r="AP18" i="1"/>
  <c r="AQ18" i="1"/>
  <c r="AR18" i="1"/>
  <c r="AS18" i="1"/>
  <c r="AT18" i="1"/>
  <c r="AU18" i="1"/>
  <c r="AV18" i="1"/>
  <c r="AN19" i="1"/>
  <c r="AO19" i="1"/>
  <c r="AP19" i="1"/>
  <c r="AQ19" i="1"/>
  <c r="AR19" i="1"/>
  <c r="AS19" i="1"/>
  <c r="AT19" i="1"/>
  <c r="AU19" i="1"/>
  <c r="AV19" i="1"/>
  <c r="AV5" i="1"/>
  <c r="AO5" i="1"/>
  <c r="AP5" i="1"/>
  <c r="AQ5" i="1"/>
  <c r="AR5" i="1"/>
  <c r="AS5" i="1"/>
  <c r="AT5" i="1"/>
  <c r="AU5" i="1"/>
  <c r="AN5" i="1"/>
  <c r="E1" i="1"/>
  <c r="N95" i="1" l="1"/>
  <c r="K91" i="1"/>
  <c r="AE81" i="1"/>
  <c r="Q95" i="1"/>
  <c r="AB77" i="1"/>
  <c r="H81" i="1"/>
  <c r="Y89" i="1"/>
  <c r="S95" i="1"/>
  <c r="AD77" i="1"/>
  <c r="AE93" i="1"/>
  <c r="L95" i="1"/>
  <c r="X83" i="1"/>
  <c r="AH91" i="1"/>
  <c r="Z83" i="1"/>
  <c r="AA83" i="1"/>
  <c r="AK88" i="1"/>
  <c r="AB83" i="1"/>
  <c r="L88" i="1"/>
  <c r="N91" i="1"/>
  <c r="R95" i="1"/>
  <c r="J81" i="1"/>
  <c r="AH81" i="1"/>
  <c r="AB84" i="1"/>
  <c r="U85" i="1"/>
  <c r="N87" i="1"/>
  <c r="N88" i="1"/>
  <c r="AA89" i="1"/>
  <c r="R92" i="1"/>
  <c r="T91" i="1"/>
  <c r="AF95" i="1"/>
  <c r="M78" i="1"/>
  <c r="P79" i="1"/>
  <c r="L80" i="1"/>
  <c r="O81" i="1"/>
  <c r="X82" i="1"/>
  <c r="J84" i="1"/>
  <c r="AG84" i="1"/>
  <c r="AG85" i="1"/>
  <c r="Z86" i="1"/>
  <c r="Z87" i="1"/>
  <c r="S88" i="1"/>
  <c r="Z90" i="1"/>
  <c r="U91" i="1"/>
  <c r="W92" i="1"/>
  <c r="I94" i="1"/>
  <c r="AF94" i="1"/>
  <c r="AG95" i="1"/>
  <c r="H91" i="1"/>
  <c r="M95" i="1"/>
  <c r="X77" i="1"/>
  <c r="Y83" i="1"/>
  <c r="Y77" i="1"/>
  <c r="AJ91" i="1"/>
  <c r="U86" i="1"/>
  <c r="P91" i="1"/>
  <c r="T95" i="1"/>
  <c r="Y82" i="1"/>
  <c r="K84" i="1"/>
  <c r="AH84" i="1"/>
  <c r="AH85" i="1"/>
  <c r="AA86" i="1"/>
  <c r="AA87" i="1"/>
  <c r="T88" i="1"/>
  <c r="AA90" i="1"/>
  <c r="V91" i="1"/>
  <c r="X92" i="1"/>
  <c r="J94" i="1"/>
  <c r="AG94" i="1"/>
  <c r="AH95" i="1"/>
  <c r="AE91" i="1"/>
  <c r="O95" i="1"/>
  <c r="Z77" i="1"/>
  <c r="J88" i="1"/>
  <c r="P95" i="1"/>
  <c r="AA77" i="1"/>
  <c r="K88" i="1"/>
  <c r="AF81" i="1"/>
  <c r="AC77" i="1"/>
  <c r="AJ78" i="1"/>
  <c r="H80" i="1"/>
  <c r="K81" i="1"/>
  <c r="AI81" i="1"/>
  <c r="F84" i="1"/>
  <c r="AC84" i="1"/>
  <c r="V85" i="1"/>
  <c r="V86" i="1"/>
  <c r="O87" i="1"/>
  <c r="O88" i="1"/>
  <c r="AB89" i="1"/>
  <c r="Q91" i="1"/>
  <c r="S92" i="1"/>
  <c r="U95" i="1"/>
  <c r="J78" i="1"/>
  <c r="AK78" i="1"/>
  <c r="L81" i="1"/>
  <c r="AJ81" i="1"/>
  <c r="G84" i="1"/>
  <c r="AD84" i="1"/>
  <c r="W85" i="1"/>
  <c r="W86" i="1"/>
  <c r="P87" i="1"/>
  <c r="P88" i="1"/>
  <c r="AJ89" i="1"/>
  <c r="R91" i="1"/>
  <c r="T92" i="1"/>
  <c r="F94" i="1"/>
  <c r="AC94" i="1"/>
  <c r="V95" i="1"/>
  <c r="K78" i="1"/>
  <c r="J80" i="1"/>
  <c r="AK81" i="1"/>
  <c r="X85" i="1"/>
  <c r="Q88" i="1"/>
  <c r="U92" i="1"/>
  <c r="W95" i="1"/>
  <c r="L78" i="1"/>
  <c r="N81" i="1"/>
  <c r="I84" i="1"/>
  <c r="AF85" i="1"/>
  <c r="Y87" i="1"/>
  <c r="V92" i="1"/>
  <c r="P81" i="1"/>
  <c r="O78" i="1"/>
  <c r="R79" i="1"/>
  <c r="N80" i="1"/>
  <c r="Q81" i="1"/>
  <c r="Z82" i="1"/>
  <c r="L84" i="1"/>
  <c r="AI84" i="1"/>
  <c r="AI85" i="1"/>
  <c r="AB86" i="1"/>
  <c r="AB87" i="1"/>
  <c r="U88" i="1"/>
  <c r="AB90" i="1"/>
  <c r="W91" i="1"/>
  <c r="Y92" i="1"/>
  <c r="K94" i="1"/>
  <c r="AH94" i="1"/>
  <c r="AI95" i="1"/>
  <c r="J91" i="1"/>
  <c r="AJ88" i="1"/>
  <c r="AI91" i="1"/>
  <c r="AK91" i="1"/>
  <c r="M88" i="1"/>
  <c r="Q92" i="1"/>
  <c r="AB94" i="1"/>
  <c r="I80" i="1"/>
  <c r="M81" i="1"/>
  <c r="H84" i="1"/>
  <c r="AE84" i="1"/>
  <c r="X86" i="1"/>
  <c r="X87" i="1"/>
  <c r="AK89" i="1"/>
  <c r="S91" i="1"/>
  <c r="G94" i="1"/>
  <c r="AD94" i="1"/>
  <c r="K80" i="1"/>
  <c r="AF84" i="1"/>
  <c r="R88" i="1"/>
  <c r="AE94" i="1"/>
  <c r="M80" i="1"/>
  <c r="P78" i="1"/>
  <c r="S79" i="1"/>
  <c r="V80" i="1"/>
  <c r="R81" i="1"/>
  <c r="AH82" i="1"/>
  <c r="M84" i="1"/>
  <c r="AJ84" i="1"/>
  <c r="AJ85" i="1"/>
  <c r="AC86" i="1"/>
  <c r="AC87" i="1"/>
  <c r="V88" i="1"/>
  <c r="AC90" i="1"/>
  <c r="AB91" i="1"/>
  <c r="AH92" i="1"/>
  <c r="L94" i="1"/>
  <c r="AI94" i="1"/>
  <c r="AJ95" i="1"/>
  <c r="P77" i="1"/>
  <c r="AG91" i="1"/>
  <c r="L91" i="1"/>
  <c r="M91" i="1"/>
  <c r="AC83" i="1"/>
  <c r="I81" i="1"/>
  <c r="AG81" i="1"/>
  <c r="AD83" i="1"/>
  <c r="T85" i="1"/>
  <c r="M87" i="1"/>
  <c r="Z89" i="1"/>
  <c r="O91" i="1"/>
  <c r="Y86" i="1"/>
  <c r="H94" i="1"/>
  <c r="N78" i="1"/>
  <c r="Q79" i="1"/>
  <c r="Q78" i="1"/>
  <c r="W80" i="1"/>
  <c r="S81" i="1"/>
  <c r="AI82" i="1"/>
  <c r="N84" i="1"/>
  <c r="AK84" i="1"/>
  <c r="AD87" i="1"/>
  <c r="AD88" i="1"/>
  <c r="AD90" i="1"/>
  <c r="AC91" i="1"/>
  <c r="AK92" i="1"/>
  <c r="M94" i="1"/>
  <c r="AJ94" i="1"/>
  <c r="AK95" i="1"/>
  <c r="AF91" i="1"/>
  <c r="I91" i="1"/>
  <c r="T81" i="1"/>
  <c r="AE88" i="1"/>
  <c r="AD91" i="1"/>
  <c r="R96" i="1"/>
  <c r="E77" i="1"/>
  <c r="AF77" i="1"/>
  <c r="F82" i="1"/>
  <c r="F83" i="1"/>
  <c r="F89" i="1"/>
  <c r="G90" i="1"/>
  <c r="AB93" i="1"/>
  <c r="S96" i="1"/>
  <c r="F77" i="1"/>
  <c r="AG77" i="1"/>
  <c r="G83" i="1"/>
  <c r="G89" i="1"/>
  <c r="H90" i="1"/>
  <c r="AI92" i="1"/>
  <c r="AC93" i="1"/>
  <c r="AK96" i="1"/>
  <c r="Q96" i="1"/>
  <c r="AG96" i="1"/>
  <c r="M96" i="1"/>
  <c r="AD96" i="1"/>
  <c r="AJ96" i="1"/>
  <c r="P96" i="1"/>
  <c r="N96" i="1"/>
  <c r="AI96" i="1"/>
  <c r="O96" i="1"/>
  <c r="AH96" i="1"/>
  <c r="AF96" i="1"/>
  <c r="L96" i="1"/>
  <c r="AE96" i="1"/>
  <c r="K96" i="1"/>
  <c r="J96" i="1"/>
  <c r="AF90" i="1"/>
  <c r="AG82" i="1"/>
  <c r="M82" i="1"/>
  <c r="AD82" i="1"/>
  <c r="J82" i="1"/>
  <c r="AF82" i="1"/>
  <c r="L82" i="1"/>
  <c r="AC82" i="1"/>
  <c r="AE82" i="1"/>
  <c r="K82" i="1"/>
  <c r="I82" i="1"/>
  <c r="AB82" i="1"/>
  <c r="H82" i="1"/>
  <c r="AA82" i="1"/>
  <c r="G82" i="1"/>
  <c r="O82" i="1"/>
  <c r="H83" i="1"/>
  <c r="I90" i="1"/>
  <c r="U96" i="1"/>
  <c r="E82" i="1"/>
  <c r="E83" i="1"/>
  <c r="G77" i="1"/>
  <c r="AH77" i="1"/>
  <c r="I83" i="1"/>
  <c r="Q82" i="1"/>
  <c r="S93" i="1"/>
  <c r="AJ93" i="1"/>
  <c r="AI93" i="1"/>
  <c r="O93" i="1"/>
  <c r="N93" i="1"/>
  <c r="R93" i="1"/>
  <c r="AK93" i="1"/>
  <c r="Q93" i="1"/>
  <c r="P93" i="1"/>
  <c r="AH93" i="1"/>
  <c r="L93" i="1"/>
  <c r="AG93" i="1"/>
  <c r="M93" i="1"/>
  <c r="AF93" i="1"/>
  <c r="Z96" i="1"/>
  <c r="E96" i="1"/>
  <c r="S83" i="1"/>
  <c r="AJ83" i="1"/>
  <c r="P83" i="1"/>
  <c r="N83" i="1"/>
  <c r="R83" i="1"/>
  <c r="AI83" i="1"/>
  <c r="O83" i="1"/>
  <c r="AK83" i="1"/>
  <c r="Q83" i="1"/>
  <c r="AH83" i="1"/>
  <c r="AG83" i="1"/>
  <c r="M83" i="1"/>
  <c r="AE83" i="1"/>
  <c r="AI89" i="1"/>
  <c r="O89" i="1"/>
  <c r="AD89" i="1"/>
  <c r="J89" i="1"/>
  <c r="AH89" i="1"/>
  <c r="N89" i="1"/>
  <c r="AG89" i="1"/>
  <c r="M89" i="1"/>
  <c r="AF89" i="1"/>
  <c r="L89" i="1"/>
  <c r="AE89" i="1"/>
  <c r="K89" i="1"/>
  <c r="AC89" i="1"/>
  <c r="I89" i="1"/>
  <c r="H89" i="1"/>
  <c r="E90" i="1"/>
  <c r="AG90" i="1"/>
  <c r="I96" i="1"/>
  <c r="W77" i="1"/>
  <c r="T77" i="1"/>
  <c r="V77" i="1"/>
  <c r="U77" i="1"/>
  <c r="S77" i="1"/>
  <c r="R77" i="1"/>
  <c r="AK77" i="1"/>
  <c r="Q77" i="1"/>
  <c r="AE77" i="1"/>
  <c r="F90" i="1"/>
  <c r="H77" i="1"/>
  <c r="J90" i="1"/>
  <c r="V96" i="1"/>
  <c r="AJ77" i="1"/>
  <c r="R89" i="1"/>
  <c r="K90" i="1"/>
  <c r="T89" i="1"/>
  <c r="AG92" i="1"/>
  <c r="M92" i="1"/>
  <c r="AD92" i="1"/>
  <c r="J92" i="1"/>
  <c r="AC92" i="1"/>
  <c r="I92" i="1"/>
  <c r="AF92" i="1"/>
  <c r="L92" i="1"/>
  <c r="AE92" i="1"/>
  <c r="K92" i="1"/>
  <c r="AB92" i="1"/>
  <c r="H92" i="1"/>
  <c r="Z92" i="1"/>
  <c r="AA92" i="1"/>
  <c r="G92" i="1"/>
  <c r="F92" i="1"/>
  <c r="AI79" i="1"/>
  <c r="O79" i="1"/>
  <c r="AF79" i="1"/>
  <c r="L79" i="1"/>
  <c r="AD79" i="1"/>
  <c r="J79" i="1"/>
  <c r="AH79" i="1"/>
  <c r="N79" i="1"/>
  <c r="AG79" i="1"/>
  <c r="M79" i="1"/>
  <c r="AE79" i="1"/>
  <c r="K79" i="1"/>
  <c r="AC79" i="1"/>
  <c r="I79" i="1"/>
  <c r="M77" i="1"/>
  <c r="E79" i="1"/>
  <c r="AF80" i="1"/>
  <c r="V89" i="1"/>
  <c r="W90" i="1"/>
  <c r="N92" i="1"/>
  <c r="H93" i="1"/>
  <c r="AA96" i="1"/>
  <c r="F96" i="1"/>
  <c r="AF83" i="1"/>
  <c r="Q89" i="1"/>
  <c r="W96" i="1"/>
  <c r="J77" i="1"/>
  <c r="R82" i="1"/>
  <c r="K83" i="1"/>
  <c r="L90" i="1"/>
  <c r="E93" i="1"/>
  <c r="X96" i="1"/>
  <c r="K77" i="1"/>
  <c r="M90" i="1"/>
  <c r="E92" i="1"/>
  <c r="G93" i="1"/>
  <c r="N77" i="1"/>
  <c r="V83" i="1"/>
  <c r="W89" i="1"/>
  <c r="O92" i="1"/>
  <c r="I93" i="1"/>
  <c r="AB96" i="1"/>
  <c r="G96" i="1"/>
  <c r="U90" i="1"/>
  <c r="AJ90" i="1"/>
  <c r="P90" i="1"/>
  <c r="T90" i="1"/>
  <c r="S90" i="1"/>
  <c r="R90" i="1"/>
  <c r="AK90" i="1"/>
  <c r="Q90" i="1"/>
  <c r="AI90" i="1"/>
  <c r="O90" i="1"/>
  <c r="AH90" i="1"/>
  <c r="N90" i="1"/>
  <c r="H96" i="1"/>
  <c r="E89" i="1"/>
  <c r="P82" i="1"/>
  <c r="I77" i="1"/>
  <c r="J83" i="1"/>
  <c r="S89" i="1"/>
  <c r="S82" i="1"/>
  <c r="F93" i="1"/>
  <c r="Y96" i="1"/>
  <c r="L77" i="1"/>
  <c r="U80" i="1"/>
  <c r="R80" i="1"/>
  <c r="AJ80" i="1"/>
  <c r="P80" i="1"/>
  <c r="T80" i="1"/>
  <c r="S80" i="1"/>
  <c r="AK80" i="1"/>
  <c r="Q80" i="1"/>
  <c r="AI80" i="1"/>
  <c r="O80" i="1"/>
  <c r="AE80" i="1"/>
  <c r="T82" i="1"/>
  <c r="T83" i="1"/>
  <c r="U89" i="1"/>
  <c r="V90" i="1"/>
  <c r="U82" i="1"/>
  <c r="U83" i="1"/>
  <c r="F79" i="1"/>
  <c r="F80" i="1"/>
  <c r="AG80" i="1"/>
  <c r="V82" i="1"/>
  <c r="O77" i="1"/>
  <c r="G79" i="1"/>
  <c r="G80" i="1"/>
  <c r="AH80" i="1"/>
  <c r="W82" i="1"/>
  <c r="W83" i="1"/>
  <c r="AE85" i="1"/>
  <c r="K85" i="1"/>
  <c r="AD85" i="1"/>
  <c r="J85" i="1"/>
  <c r="AC85" i="1"/>
  <c r="I85" i="1"/>
  <c r="AB85" i="1"/>
  <c r="H85" i="1"/>
  <c r="AA85" i="1"/>
  <c r="G85" i="1"/>
  <c r="Z85" i="1"/>
  <c r="F85" i="1"/>
  <c r="Y85" i="1"/>
  <c r="E85" i="1"/>
  <c r="AK86" i="1"/>
  <c r="Q86" i="1"/>
  <c r="AJ86" i="1"/>
  <c r="P86" i="1"/>
  <c r="AI86" i="1"/>
  <c r="O86" i="1"/>
  <c r="AH86" i="1"/>
  <c r="N86" i="1"/>
  <c r="AG86" i="1"/>
  <c r="M86" i="1"/>
  <c r="AF86" i="1"/>
  <c r="L86" i="1"/>
  <c r="AE86" i="1"/>
  <c r="K86" i="1"/>
  <c r="W87" i="1"/>
  <c r="V87" i="1"/>
  <c r="U87" i="1"/>
  <c r="T87" i="1"/>
  <c r="S87" i="1"/>
  <c r="R87" i="1"/>
  <c r="AK87" i="1"/>
  <c r="Q87" i="1"/>
  <c r="AE87" i="1"/>
  <c r="X89" i="1"/>
  <c r="Y90" i="1"/>
  <c r="P92" i="1"/>
  <c r="J93" i="1"/>
  <c r="AC96" i="1"/>
  <c r="W78" i="1"/>
  <c r="W88" i="1"/>
  <c r="E95" i="1"/>
  <c r="Y95" i="1"/>
  <c r="X95" i="1"/>
  <c r="F95" i="1"/>
  <c r="Z95" i="1"/>
  <c r="E78" i="1"/>
  <c r="Y78" i="1"/>
  <c r="E88" i="1"/>
  <c r="Y88" i="1"/>
  <c r="F88" i="1"/>
  <c r="Z88" i="1"/>
  <c r="X91" i="1"/>
  <c r="G78" i="1"/>
  <c r="AA78" i="1"/>
  <c r="E81" i="1"/>
  <c r="Y81" i="1"/>
  <c r="W84" i="1"/>
  <c r="G88" i="1"/>
  <c r="AA88" i="1"/>
  <c r="E91" i="1"/>
  <c r="Y91" i="1"/>
  <c r="W94" i="1"/>
  <c r="I95" i="1"/>
  <c r="AC95" i="1"/>
  <c r="X88" i="1"/>
  <c r="H95" i="1"/>
  <c r="H78" i="1"/>
  <c r="AB78" i="1"/>
  <c r="F81" i="1"/>
  <c r="Z81" i="1"/>
  <c r="X84" i="1"/>
  <c r="H88" i="1"/>
  <c r="AB88" i="1"/>
  <c r="F91" i="1"/>
  <c r="Z91" i="1"/>
  <c r="X94" i="1"/>
  <c r="J95" i="1"/>
  <c r="AD95" i="1"/>
  <c r="X78" i="1"/>
  <c r="G95" i="1"/>
  <c r="AA95" i="1"/>
  <c r="F78" i="1"/>
  <c r="Z78" i="1"/>
  <c r="X81" i="1"/>
  <c r="AB95" i="1"/>
  <c r="I78" i="1"/>
  <c r="G81" i="1"/>
  <c r="E84" i="1"/>
  <c r="I88" i="1"/>
  <c r="G91" i="1"/>
  <c r="E94" i="1"/>
  <c r="K95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AM61" i="1"/>
  <c r="AM62" i="1"/>
  <c r="AN61" i="1"/>
  <c r="BC61" i="1" s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F1" i="1"/>
  <c r="BC62" i="1" l="1"/>
  <c r="BC65" i="1"/>
  <c r="AM33" i="1"/>
  <c r="AM44" i="1"/>
  <c r="BC56" i="1"/>
  <c r="BC22" i="1"/>
  <c r="AM21" i="1"/>
  <c r="AM27" i="1"/>
  <c r="BC42" i="1"/>
  <c r="AM32" i="1"/>
  <c r="BC59" i="1"/>
  <c r="BC50" i="1"/>
  <c r="AM26" i="1"/>
  <c r="AM36" i="1"/>
  <c r="AM53" i="1"/>
  <c r="BC43" i="1"/>
  <c r="BC29" i="1"/>
  <c r="BC37" i="1"/>
  <c r="BC25" i="1"/>
  <c r="BC38" i="1"/>
  <c r="BC30" i="1"/>
  <c r="BC60" i="1"/>
  <c r="BC34" i="1"/>
  <c r="BC31" i="1"/>
  <c r="BC52" i="1"/>
  <c r="BC36" i="1"/>
  <c r="BC45" i="1"/>
  <c r="BC47" i="1"/>
  <c r="BC24" i="1"/>
  <c r="BC44" i="1"/>
  <c r="BC46" i="1"/>
  <c r="BC48" i="1"/>
  <c r="BC40" i="1"/>
  <c r="BC58" i="1"/>
  <c r="AM29" i="1"/>
  <c r="AM28" i="1"/>
  <c r="AM65" i="1"/>
  <c r="AM50" i="1"/>
  <c r="AM56" i="1"/>
  <c r="BC39" i="1"/>
  <c r="BC51" i="1"/>
  <c r="BC55" i="1"/>
  <c r="AM63" i="1"/>
  <c r="AM48" i="1"/>
  <c r="AM54" i="1"/>
  <c r="AM58" i="1"/>
  <c r="AM51" i="1"/>
  <c r="BC21" i="1"/>
  <c r="BC33" i="1"/>
  <c r="AM59" i="1"/>
  <c r="AM35" i="1"/>
  <c r="AM46" i="1"/>
  <c r="AM39" i="1"/>
  <c r="AM24" i="1"/>
  <c r="BC32" i="1"/>
  <c r="BC27" i="1"/>
  <c r="AM57" i="1"/>
  <c r="AM60" i="1"/>
  <c r="AM25" i="1"/>
  <c r="BC28" i="1"/>
  <c r="AM47" i="1"/>
  <c r="BC26" i="1"/>
  <c r="BC57" i="1"/>
  <c r="AM23" i="1"/>
  <c r="AM31" i="1"/>
  <c r="BC49" i="1"/>
  <c r="BC35" i="1"/>
  <c r="BC23" i="1"/>
  <c r="AM38" i="1"/>
  <c r="BC64" i="1"/>
  <c r="AM49" i="1"/>
  <c r="AM64" i="1"/>
  <c r="AM45" i="1"/>
  <c r="BC54" i="1"/>
  <c r="AM40" i="1"/>
  <c r="BC41" i="1"/>
  <c r="AM52" i="1"/>
  <c r="BC63" i="1"/>
  <c r="AM42" i="1"/>
  <c r="BC53" i="1"/>
  <c r="AM30" i="1"/>
  <c r="AM37" i="1"/>
  <c r="AM55" i="1"/>
  <c r="AM41" i="1" l="1"/>
  <c r="AM43" i="1"/>
  <c r="AM34" i="1"/>
  <c r="AM22" i="1"/>
</calcChain>
</file>

<file path=xl/sharedStrings.xml><?xml version="1.0" encoding="utf-8"?>
<sst xmlns="http://schemas.openxmlformats.org/spreadsheetml/2006/main" count="231" uniqueCount="59">
  <si>
    <t>第</t>
    <rPh sb="0" eb="1">
      <t>ダイ</t>
    </rPh>
    <phoneticPr fontId="2"/>
  </si>
  <si>
    <t>版</t>
    <rPh sb="0" eb="1">
      <t>ハン</t>
    </rPh>
    <phoneticPr fontId="2"/>
  </si>
  <si>
    <t>○.○○配布</t>
    <rPh sb="4" eb="6">
      <t>ハイフ</t>
    </rPh>
    <phoneticPr fontId="2"/>
  </si>
  <si>
    <t>１年</t>
    <rPh sb="1" eb="2">
      <t>ネン</t>
    </rPh>
    <phoneticPr fontId="2"/>
  </si>
  <si>
    <t>１組</t>
    <rPh sb="1" eb="2">
      <t>クミ</t>
    </rPh>
    <phoneticPr fontId="2"/>
  </si>
  <si>
    <t>2組</t>
    <rPh sb="1" eb="2">
      <t>クミ</t>
    </rPh>
    <phoneticPr fontId="2"/>
  </si>
  <si>
    <t>3組</t>
    <rPh sb="1" eb="2">
      <t>クミ</t>
    </rPh>
    <phoneticPr fontId="2"/>
  </si>
  <si>
    <t>4組</t>
    <rPh sb="1" eb="2">
      <t>クミ</t>
    </rPh>
    <phoneticPr fontId="2"/>
  </si>
  <si>
    <t>5組</t>
    <rPh sb="1" eb="2">
      <t>クミ</t>
    </rPh>
    <phoneticPr fontId="2"/>
  </si>
  <si>
    <t>２年</t>
    <rPh sb="1" eb="2">
      <t>ネン</t>
    </rPh>
    <phoneticPr fontId="2"/>
  </si>
  <si>
    <t>３年</t>
    <rPh sb="1" eb="2">
      <t>ネン</t>
    </rPh>
    <phoneticPr fontId="2"/>
  </si>
  <si>
    <t>1-1</t>
    <phoneticPr fontId="2"/>
  </si>
  <si>
    <t>1-2</t>
    <phoneticPr fontId="2"/>
  </si>
  <si>
    <t>1-3</t>
    <phoneticPr fontId="2"/>
  </si>
  <si>
    <t>1-4</t>
  </si>
  <si>
    <t>1-5</t>
  </si>
  <si>
    <t>2-1</t>
    <phoneticPr fontId="2"/>
  </si>
  <si>
    <t>2-2</t>
  </si>
  <si>
    <t>2-3</t>
  </si>
  <si>
    <t>2-4</t>
  </si>
  <si>
    <t>2-5</t>
  </si>
  <si>
    <t>3-1</t>
    <phoneticPr fontId="2"/>
  </si>
  <si>
    <t>3-2</t>
  </si>
  <si>
    <t>3-3</t>
  </si>
  <si>
    <t>3-4</t>
  </si>
  <si>
    <t>3-5</t>
  </si>
  <si>
    <t>計</t>
    <rPh sb="0" eb="1">
      <t>ケイ</t>
    </rPh>
    <phoneticPr fontId="2"/>
  </si>
  <si>
    <t>第一学年</t>
    <rPh sb="0" eb="1">
      <t>ダイ</t>
    </rPh>
    <rPh sb="1" eb="2">
      <t>イチ</t>
    </rPh>
    <rPh sb="2" eb="4">
      <t>ガクネン</t>
    </rPh>
    <phoneticPr fontId="2"/>
  </si>
  <si>
    <t>２組</t>
    <rPh sb="1" eb="2">
      <t>クミ</t>
    </rPh>
    <phoneticPr fontId="2"/>
  </si>
  <si>
    <t>３組</t>
    <rPh sb="1" eb="2">
      <t>クミ</t>
    </rPh>
    <phoneticPr fontId="2"/>
  </si>
  <si>
    <t>副</t>
    <rPh sb="0" eb="1">
      <t>フク</t>
    </rPh>
    <phoneticPr fontId="2"/>
  </si>
  <si>
    <t>第二学年</t>
    <rPh sb="0" eb="1">
      <t>ダイ</t>
    </rPh>
    <rPh sb="1" eb="2">
      <t>ニ</t>
    </rPh>
    <rPh sb="2" eb="4">
      <t>ガクネン</t>
    </rPh>
    <phoneticPr fontId="2"/>
  </si>
  <si>
    <t>４組</t>
    <rPh sb="1" eb="2">
      <t>クミ</t>
    </rPh>
    <phoneticPr fontId="2"/>
  </si>
  <si>
    <t>５組</t>
    <rPh sb="1" eb="2">
      <t>クミ</t>
    </rPh>
    <phoneticPr fontId="2"/>
  </si>
  <si>
    <t>第三学年</t>
    <rPh sb="0" eb="1">
      <t>ダイ</t>
    </rPh>
    <rPh sb="1" eb="2">
      <t>サン</t>
    </rPh>
    <rPh sb="2" eb="4">
      <t>ガクネン</t>
    </rPh>
    <phoneticPr fontId="2"/>
  </si>
  <si>
    <t>講　師</t>
    <rPh sb="0" eb="1">
      <t>コウ</t>
    </rPh>
    <rPh sb="2" eb="3">
      <t>シ</t>
    </rPh>
    <phoneticPr fontId="2"/>
  </si>
  <si>
    <t>講師</t>
    <phoneticPr fontId="2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</si>
  <si>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/>
  </si>
  <si>
    <t/>
  </si>
  <si>
    <t>国語</t>
    <rPh sb="0" eb="2">
      <t>コクゴ</t>
    </rPh>
    <phoneticPr fontId="2"/>
  </si>
  <si>
    <t>社会</t>
    <rPh sb="0" eb="2">
      <t>シャカイ</t>
    </rPh>
    <phoneticPr fontId="2"/>
  </si>
  <si>
    <t>数学</t>
    <rPh sb="0" eb="2">
      <t>スウガク</t>
    </rPh>
    <phoneticPr fontId="2"/>
  </si>
  <si>
    <t>理科</t>
    <rPh sb="0" eb="2">
      <t>リカ</t>
    </rPh>
    <phoneticPr fontId="2"/>
  </si>
  <si>
    <t>英語</t>
    <rPh sb="0" eb="2">
      <t>エイゴ</t>
    </rPh>
    <phoneticPr fontId="2"/>
  </si>
  <si>
    <t>音楽</t>
    <rPh sb="0" eb="2">
      <t>オンガク</t>
    </rPh>
    <phoneticPr fontId="2"/>
  </si>
  <si>
    <t>美術</t>
    <rPh sb="0" eb="2">
      <t>ビジュツ</t>
    </rPh>
    <phoneticPr fontId="2"/>
  </si>
  <si>
    <t>保体</t>
    <rPh sb="0" eb="2">
      <t>ホタイ</t>
    </rPh>
    <phoneticPr fontId="2"/>
  </si>
  <si>
    <t>技家</t>
    <rPh sb="0" eb="1">
      <t>ワザ</t>
    </rPh>
    <rPh sb="1" eb="2">
      <t>イエ</t>
    </rPh>
    <phoneticPr fontId="2"/>
  </si>
  <si>
    <t>1-1</t>
  </si>
  <si>
    <t>1-2</t>
  </si>
  <si>
    <t>1-3</t>
  </si>
  <si>
    <t>2-1</t>
  </si>
  <si>
    <t>3-1</t>
  </si>
  <si>
    <t>1-4</t>
    <phoneticPr fontId="2"/>
  </si>
  <si>
    <t>1-5</t>
    <phoneticPr fontId="2"/>
  </si>
  <si>
    <t>2-4</t>
    <phoneticPr fontId="2"/>
  </si>
  <si>
    <t>2-5</t>
    <phoneticPr fontId="2"/>
  </si>
  <si>
    <t>3-4</t>
    <phoneticPr fontId="2"/>
  </si>
  <si>
    <t>3-5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</si>
</sst>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\ hh:mm"/>
    <numFmt numFmtId="177" formatCode="m&quot;月&quot;d&quot;日&quot;\ \(aaa\)"/>
    <numFmt numFmtId="178" formatCode="m/d"/>
  </numFmts>
  <fonts count="23" x14ac:knownFonts="1">
    <font>
      <sz val="11"/>
      <name val="ＭＳ 明朝"/>
      <family val="1"/>
      <charset val="128"/>
    </font>
    <font>
      <sz val="11"/>
      <name val="HG丸ｺﾞｼｯｸM-PRO"/>
      <family val="3"/>
      <charset val="128"/>
    </font>
    <font>
      <sz val="6"/>
      <name val="ＭＳ 明朝"/>
      <family val="1"/>
      <charset val="128"/>
    </font>
    <font>
      <b/>
      <sz val="24"/>
      <color theme="1"/>
      <name val="HG丸ｺﾞｼｯｸM-PRO"/>
      <family val="3"/>
      <charset val="128"/>
    </font>
    <font>
      <sz val="9"/>
      <color theme="1"/>
      <name val="HG丸ｺﾞｼｯｸM-PRO"/>
      <family val="3"/>
      <charset val="128"/>
    </font>
    <font>
      <sz val="11"/>
      <color theme="0" tint="-0.249977111117893"/>
      <name val="ＭＳ 明朝"/>
      <family val="1"/>
      <charset val="128"/>
    </font>
    <font>
      <b/>
      <sz val="12"/>
      <name val="HG丸ｺﾞｼｯｸM-PRO"/>
      <family val="3"/>
      <charset val="128"/>
    </font>
    <font>
      <sz val="20"/>
      <name val="HG丸ｺﾞｼｯｸM-PRO"/>
      <family val="3"/>
      <charset val="128"/>
    </font>
    <font>
      <sz val="20"/>
      <name val="ＭＳ 明朝"/>
      <family val="1"/>
      <charset val="128"/>
    </font>
    <font>
      <sz val="20"/>
      <color theme="0" tint="-0.249977111117893"/>
      <name val="ＭＳ 明朝"/>
      <family val="1"/>
      <charset val="128"/>
    </font>
    <font>
      <sz val="10"/>
      <name val="HG丸ｺﾞｼｯｸM-PRO"/>
      <family val="3"/>
      <charset val="128"/>
    </font>
    <font>
      <sz val="12"/>
      <name val="HG丸ｺﾞｼｯｸM-PRO"/>
      <family val="3"/>
      <charset val="128"/>
    </font>
    <font>
      <b/>
      <sz val="24"/>
      <color theme="0" tint="-0.249977111117893"/>
      <name val="ＭＳ 明朝"/>
      <family val="1"/>
      <charset val="128"/>
    </font>
    <font>
      <sz val="26"/>
      <name val="UD デジタル 教科書体 N-B"/>
      <family val="1"/>
      <charset val="128"/>
    </font>
    <font>
      <sz val="26"/>
      <color theme="0" tint="-0.249977111117893"/>
      <name val="UD デジタル 教科書体 N-B"/>
      <family val="1"/>
      <charset val="128"/>
    </font>
    <font>
      <sz val="26"/>
      <color theme="0"/>
      <name val="UD デジタル 教科書体 N-B"/>
      <family val="1"/>
      <charset val="128"/>
    </font>
    <font>
      <sz val="11"/>
      <color theme="0"/>
      <name val="ＭＳ 明朝"/>
      <family val="1"/>
      <charset val="128"/>
    </font>
    <font>
      <sz val="12"/>
      <color theme="1"/>
      <name val="HG丸ｺﾞｼｯｸM-PRO"/>
      <family val="3"/>
      <charset val="128"/>
    </font>
    <font>
      <sz val="11"/>
      <color theme="1"/>
      <name val="HG丸ｺﾞｼｯｸM-PRO"/>
      <family val="3"/>
      <charset val="128"/>
    </font>
    <font>
      <sz val="9"/>
      <name val="HG丸ｺﾞｼｯｸM-PRO"/>
      <family val="3"/>
      <charset val="128"/>
    </font>
    <font>
      <sz val="12"/>
      <color theme="0" tint="-0.249977111117893"/>
      <name val="HG丸ｺﾞｼｯｸM-PRO"/>
      <family val="3"/>
      <charset val="128"/>
    </font>
    <font>
      <sz val="14"/>
      <name val="UD デジタル 教科書体 N-B"/>
      <family val="1"/>
      <charset val="128"/>
    </font>
    <font>
      <sz val="22"/>
      <name val="UD デジタル 教科書体 N-B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8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indexed="64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68">
    <xf numFmtId="0" fontId="0" fillId="0" borderId="0" xfId="0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178" fontId="0" fillId="0" borderId="0" xfId="0" applyNumberFormat="1">
      <alignment vertical="center"/>
    </xf>
    <xf numFmtId="0" fontId="9" fillId="0" borderId="0" xfId="0" applyFont="1">
      <alignment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top" wrapText="1"/>
    </xf>
    <xf numFmtId="0" fontId="11" fillId="2" borderId="32" xfId="0" applyFont="1" applyFill="1" applyBorder="1" applyAlignment="1">
      <alignment horizontal="center" vertical="top" wrapText="1"/>
    </xf>
    <xf numFmtId="49" fontId="11" fillId="2" borderId="31" xfId="0" applyNumberFormat="1" applyFont="1" applyFill="1" applyBorder="1" applyAlignment="1">
      <alignment horizontal="center" vertical="top" wrapText="1"/>
    </xf>
    <xf numFmtId="49" fontId="11" fillId="2" borderId="33" xfId="0" applyNumberFormat="1" applyFont="1" applyFill="1" applyBorder="1" applyAlignment="1">
      <alignment horizontal="center" vertical="top" wrapText="1"/>
    </xf>
    <xf numFmtId="0" fontId="11" fillId="0" borderId="37" xfId="0" applyFont="1" applyBorder="1" applyAlignment="1">
      <alignment horizontal="center" vertical="top"/>
    </xf>
    <xf numFmtId="0" fontId="11" fillId="0" borderId="35" xfId="0" applyFont="1" applyBorder="1" applyAlignment="1">
      <alignment horizontal="center" vertical="top"/>
    </xf>
    <xf numFmtId="49" fontId="11" fillId="0" borderId="33" xfId="0" applyNumberFormat="1" applyFont="1" applyBorder="1" applyAlignment="1">
      <alignment vertical="center" wrapText="1"/>
    </xf>
    <xf numFmtId="49" fontId="10" fillId="2" borderId="39" xfId="0" applyNumberFormat="1" applyFont="1" applyFill="1" applyBorder="1" applyAlignment="1">
      <alignment horizontal="center" vertical="center"/>
    </xf>
    <xf numFmtId="49" fontId="11" fillId="0" borderId="40" xfId="0" applyNumberFormat="1" applyFont="1" applyBorder="1" applyAlignment="1">
      <alignment vertical="center" wrapText="1"/>
    </xf>
    <xf numFmtId="0" fontId="11" fillId="0" borderId="41" xfId="0" applyFont="1" applyBorder="1" applyAlignment="1">
      <alignment horizontal="center" vertical="top"/>
    </xf>
    <xf numFmtId="0" fontId="11" fillId="0" borderId="42" xfId="0" applyFont="1" applyBorder="1" applyAlignment="1">
      <alignment horizontal="center" vertical="top"/>
    </xf>
    <xf numFmtId="49" fontId="11" fillId="0" borderId="29" xfId="0" applyNumberFormat="1" applyFont="1" applyBorder="1" applyAlignment="1">
      <alignment vertical="center" wrapText="1"/>
    </xf>
    <xf numFmtId="49" fontId="10" fillId="2" borderId="46" xfId="0" applyNumberFormat="1" applyFont="1" applyFill="1" applyBorder="1" applyAlignment="1">
      <alignment horizontal="center" vertical="center"/>
    </xf>
    <xf numFmtId="0" fontId="11" fillId="0" borderId="47" xfId="0" applyFont="1" applyBorder="1" applyAlignment="1">
      <alignment horizontal="center" vertical="top"/>
    </xf>
    <xf numFmtId="0" fontId="11" fillId="0" borderId="48" xfId="0" applyFont="1" applyBorder="1" applyAlignment="1">
      <alignment horizontal="center" vertical="top"/>
    </xf>
    <xf numFmtId="49" fontId="11" fillId="0" borderId="51" xfId="0" applyNumberFormat="1" applyFont="1" applyBorder="1" applyAlignment="1">
      <alignment vertical="center" wrapText="1"/>
    </xf>
    <xf numFmtId="0" fontId="11" fillId="2" borderId="5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top" wrapText="1"/>
    </xf>
    <xf numFmtId="0" fontId="11" fillId="2" borderId="53" xfId="0" applyFont="1" applyFill="1" applyBorder="1" applyAlignment="1">
      <alignment horizontal="center" vertical="top" wrapText="1"/>
    </xf>
    <xf numFmtId="0" fontId="11" fillId="2" borderId="54" xfId="0" applyFont="1" applyFill="1" applyBorder="1" applyAlignment="1">
      <alignment horizontal="center" vertical="top" wrapText="1"/>
    </xf>
    <xf numFmtId="0" fontId="11" fillId="2" borderId="55" xfId="0" applyFont="1" applyFill="1" applyBorder="1" applyAlignment="1">
      <alignment horizontal="center" vertical="top" wrapText="1"/>
    </xf>
    <xf numFmtId="0" fontId="11" fillId="0" borderId="30" xfId="0" applyFont="1" applyBorder="1" applyAlignment="1">
      <alignment horizontal="center" vertical="top"/>
    </xf>
    <xf numFmtId="0" fontId="11" fillId="0" borderId="55" xfId="0" applyFont="1" applyBorder="1" applyAlignment="1">
      <alignment horizontal="center" vertical="top"/>
    </xf>
    <xf numFmtId="0" fontId="0" fillId="0" borderId="8" xfId="0" applyBorder="1">
      <alignment vertical="center"/>
    </xf>
    <xf numFmtId="0" fontId="11" fillId="0" borderId="56" xfId="0" applyFont="1" applyBorder="1" applyAlignment="1">
      <alignment horizontal="center" vertical="top"/>
    </xf>
    <xf numFmtId="0" fontId="11" fillId="2" borderId="58" xfId="0" applyFont="1" applyFill="1" applyBorder="1" applyAlignment="1">
      <alignment horizontal="center" vertical="center"/>
    </xf>
    <xf numFmtId="0" fontId="11" fillId="2" borderId="59" xfId="0" applyFont="1" applyFill="1" applyBorder="1" applyAlignment="1">
      <alignment horizontal="center" vertical="top" wrapText="1"/>
    </xf>
    <xf numFmtId="0" fontId="11" fillId="2" borderId="60" xfId="0" applyFont="1" applyFill="1" applyBorder="1" applyAlignment="1">
      <alignment horizontal="center" vertical="center"/>
    </xf>
    <xf numFmtId="0" fontId="11" fillId="0" borderId="57" xfId="0" applyFont="1" applyBorder="1" applyAlignment="1">
      <alignment horizontal="center" vertical="top"/>
    </xf>
    <xf numFmtId="0" fontId="11" fillId="0" borderId="61" xfId="0" applyFont="1" applyBorder="1" applyAlignment="1">
      <alignment horizontal="center" vertical="top"/>
    </xf>
    <xf numFmtId="0" fontId="11" fillId="0" borderId="62" xfId="0" applyFont="1" applyBorder="1" applyAlignment="1">
      <alignment horizontal="center" vertical="top"/>
    </xf>
    <xf numFmtId="0" fontId="11" fillId="0" borderId="64" xfId="0" applyFont="1" applyBorder="1" applyAlignment="1">
      <alignment horizontal="center" vertical="top"/>
    </xf>
    <xf numFmtId="0" fontId="12" fillId="0" borderId="0" xfId="0" applyFont="1">
      <alignment vertical="center"/>
    </xf>
    <xf numFmtId="0" fontId="1" fillId="2" borderId="6" xfId="0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textRotation="255"/>
    </xf>
    <xf numFmtId="0" fontId="6" fillId="2" borderId="6" xfId="0" applyFont="1" applyFill="1" applyBorder="1">
      <alignment vertical="center"/>
    </xf>
    <xf numFmtId="0" fontId="11" fillId="2" borderId="6" xfId="0" applyFont="1" applyFill="1" applyBorder="1" applyAlignment="1">
      <alignment horizontal="center" vertical="center" textRotation="255"/>
    </xf>
    <xf numFmtId="49" fontId="6" fillId="2" borderId="6" xfId="0" applyNumberFormat="1" applyFont="1" applyFill="1" applyBorder="1" applyAlignment="1">
      <alignment horizontal="center" vertical="top"/>
    </xf>
    <xf numFmtId="49" fontId="6" fillId="2" borderId="6" xfId="0" applyNumberFormat="1" applyFont="1" applyFill="1" applyBorder="1" applyAlignment="1">
      <alignment horizontal="center" vertical="center"/>
    </xf>
    <xf numFmtId="49" fontId="6" fillId="2" borderId="23" xfId="0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10" fillId="2" borderId="65" xfId="0" applyNumberFormat="1" applyFont="1" applyFill="1" applyBorder="1" applyAlignment="1">
      <alignment horizontal="center" vertical="center"/>
    </xf>
    <xf numFmtId="49" fontId="11" fillId="0" borderId="66" xfId="0" applyNumberFormat="1" applyFont="1" applyBorder="1" applyAlignment="1" applyProtection="1">
      <alignment horizontal="center" vertical="center" wrapText="1"/>
      <protection locked="0"/>
    </xf>
    <xf numFmtId="49" fontId="11" fillId="0" borderId="67" xfId="0" applyNumberFormat="1" applyFont="1" applyBorder="1" applyAlignment="1" applyProtection="1">
      <alignment horizontal="center" vertical="center" wrapText="1"/>
      <protection locked="0"/>
    </xf>
    <xf numFmtId="49" fontId="11" fillId="0" borderId="70" xfId="0" applyNumberFormat="1" applyFont="1" applyBorder="1" applyAlignment="1" applyProtection="1">
      <alignment horizontal="center" vertical="center"/>
      <protection locked="0"/>
    </xf>
    <xf numFmtId="49" fontId="0" fillId="0" borderId="0" xfId="0" applyNumberFormat="1">
      <alignment vertical="center"/>
    </xf>
    <xf numFmtId="0" fontId="13" fillId="0" borderId="71" xfId="0" applyFont="1" applyBorder="1">
      <alignment vertical="center"/>
    </xf>
    <xf numFmtId="0" fontId="13" fillId="0" borderId="72" xfId="0" applyFont="1" applyBorder="1">
      <alignment vertical="center"/>
    </xf>
    <xf numFmtId="0" fontId="13" fillId="0" borderId="73" xfId="0" applyFont="1" applyBorder="1">
      <alignment vertical="center"/>
    </xf>
    <xf numFmtId="0" fontId="13" fillId="0" borderId="74" xfId="0" applyFont="1" applyBorder="1">
      <alignment vertical="center"/>
    </xf>
    <xf numFmtId="0" fontId="13" fillId="0" borderId="75" xfId="0" applyFont="1" applyBorder="1">
      <alignment vertical="center"/>
    </xf>
    <xf numFmtId="0" fontId="13" fillId="0" borderId="76" xfId="0" applyFont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49" fontId="10" fillId="2" borderId="77" xfId="0" applyNumberFormat="1" applyFont="1" applyFill="1" applyBorder="1" applyAlignment="1">
      <alignment horizontal="center" vertical="center"/>
    </xf>
    <xf numFmtId="0" fontId="13" fillId="0" borderId="78" xfId="0" applyFont="1" applyBorder="1">
      <alignment vertical="center"/>
    </xf>
    <xf numFmtId="0" fontId="13" fillId="0" borderId="42" xfId="0" applyFont="1" applyBorder="1">
      <alignment vertical="center"/>
    </xf>
    <xf numFmtId="0" fontId="13" fillId="0" borderId="29" xfId="0" applyFont="1" applyBorder="1">
      <alignment vertical="center"/>
    </xf>
    <xf numFmtId="0" fontId="13" fillId="0" borderId="79" xfId="0" applyFont="1" applyBorder="1">
      <alignment vertical="center"/>
    </xf>
    <xf numFmtId="0" fontId="13" fillId="0" borderId="43" xfId="0" applyFont="1" applyBorder="1">
      <alignment vertical="center"/>
    </xf>
    <xf numFmtId="0" fontId="13" fillId="0" borderId="44" xfId="0" applyFont="1" applyBorder="1">
      <alignment vertical="center"/>
    </xf>
    <xf numFmtId="0" fontId="13" fillId="0" borderId="80" xfId="0" applyFont="1" applyBorder="1">
      <alignment vertical="center"/>
    </xf>
    <xf numFmtId="49" fontId="10" fillId="2" borderId="81" xfId="0" applyNumberFormat="1" applyFont="1" applyFill="1" applyBorder="1" applyAlignment="1">
      <alignment horizontal="center" vertical="center"/>
    </xf>
    <xf numFmtId="0" fontId="13" fillId="0" borderId="82" xfId="0" applyFont="1" applyBorder="1">
      <alignment vertical="center"/>
    </xf>
    <xf numFmtId="0" fontId="13" fillId="0" borderId="83" xfId="0" applyFont="1" applyBorder="1">
      <alignment vertical="center"/>
    </xf>
    <xf numFmtId="0" fontId="13" fillId="0" borderId="84" xfId="0" applyFont="1" applyBorder="1">
      <alignment vertical="center"/>
    </xf>
    <xf numFmtId="0" fontId="13" fillId="0" borderId="85" xfId="0" applyFont="1" applyBorder="1">
      <alignment vertical="center"/>
    </xf>
    <xf numFmtId="0" fontId="13" fillId="0" borderId="86" xfId="0" applyFont="1" applyBorder="1">
      <alignment vertical="center"/>
    </xf>
    <xf numFmtId="0" fontId="13" fillId="0" borderId="87" xfId="0" applyFont="1" applyBorder="1">
      <alignment vertical="center"/>
    </xf>
    <xf numFmtId="0" fontId="13" fillId="0" borderId="88" xfId="0" applyFont="1" applyBorder="1">
      <alignment vertical="center"/>
    </xf>
    <xf numFmtId="49" fontId="10" fillId="2" borderId="89" xfId="0" applyNumberFormat="1" applyFont="1" applyFill="1" applyBorder="1" applyAlignment="1">
      <alignment horizontal="center" vertical="center"/>
    </xf>
    <xf numFmtId="49" fontId="10" fillId="2" borderId="90" xfId="0" applyNumberFormat="1" applyFont="1" applyFill="1" applyBorder="1" applyAlignment="1">
      <alignment horizontal="center" vertical="center"/>
    </xf>
    <xf numFmtId="0" fontId="13" fillId="0" borderId="91" xfId="0" applyFont="1" applyBorder="1">
      <alignment vertical="center"/>
    </xf>
    <xf numFmtId="0" fontId="13" fillId="0" borderId="67" xfId="0" applyFont="1" applyBorder="1">
      <alignment vertical="center"/>
    </xf>
    <xf numFmtId="0" fontId="13" fillId="0" borderId="70" xfId="0" applyFont="1" applyBorder="1">
      <alignment vertical="center"/>
    </xf>
    <xf numFmtId="0" fontId="13" fillId="0" borderId="92" xfId="0" applyFont="1" applyBorder="1">
      <alignment vertical="center"/>
    </xf>
    <xf numFmtId="0" fontId="13" fillId="0" borderId="69" xfId="0" applyFont="1" applyBorder="1">
      <alignment vertical="center"/>
    </xf>
    <xf numFmtId="0" fontId="13" fillId="0" borderId="68" xfId="0" applyFont="1" applyBorder="1">
      <alignment vertical="center"/>
    </xf>
    <xf numFmtId="0" fontId="13" fillId="0" borderId="93" xfId="0" applyFont="1" applyBorder="1">
      <alignment vertical="center"/>
    </xf>
    <xf numFmtId="49" fontId="11" fillId="2" borderId="94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95" xfId="0" applyFont="1" applyBorder="1">
      <alignment vertical="center"/>
    </xf>
    <xf numFmtId="0" fontId="13" fillId="0" borderId="48" xfId="0" applyFont="1" applyBorder="1">
      <alignment vertical="center"/>
    </xf>
    <xf numFmtId="0" fontId="13" fillId="0" borderId="51" xfId="0" applyFont="1" applyBorder="1">
      <alignment vertical="center"/>
    </xf>
    <xf numFmtId="0" fontId="13" fillId="0" borderId="63" xfId="0" applyFont="1" applyBorder="1">
      <alignment vertical="center"/>
    </xf>
    <xf numFmtId="0" fontId="13" fillId="0" borderId="49" xfId="0" applyFont="1" applyBorder="1">
      <alignment vertical="center"/>
    </xf>
    <xf numFmtId="0" fontId="13" fillId="0" borderId="50" xfId="0" applyFont="1" applyBorder="1">
      <alignment vertical="center"/>
    </xf>
    <xf numFmtId="0" fontId="13" fillId="0" borderId="96" xfId="0" applyFont="1" applyBorder="1">
      <alignment vertical="center"/>
    </xf>
    <xf numFmtId="49" fontId="10" fillId="2" borderId="17" xfId="0" applyNumberFormat="1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" fillId="2" borderId="75" xfId="0" applyFont="1" applyFill="1" applyBorder="1" applyAlignment="1">
      <alignment horizontal="center" vertical="center"/>
    </xf>
    <xf numFmtId="49" fontId="11" fillId="2" borderId="97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13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13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75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12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14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97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12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98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12" xfId="0" applyNumberFormat="1" applyFont="1" applyBorder="1" applyAlignment="1" applyProtection="1">
      <alignment horizontal="center" vertical="center" wrapText="1"/>
      <protection locked="0"/>
    </xf>
    <xf numFmtId="49" fontId="11" fillId="0" borderId="13" xfId="0" applyNumberFormat="1" applyFont="1" applyBorder="1" applyAlignment="1" applyProtection="1">
      <alignment horizontal="center" vertical="center" wrapText="1"/>
      <protection locked="0"/>
    </xf>
    <xf numFmtId="49" fontId="11" fillId="0" borderId="98" xfId="0" applyNumberFormat="1" applyFont="1" applyBorder="1" applyAlignment="1" applyProtection="1">
      <alignment horizontal="center" vertical="center"/>
      <protection locked="0"/>
    </xf>
    <xf numFmtId="0" fontId="13" fillId="0" borderId="53" xfId="0" applyFont="1" applyBorder="1">
      <alignment vertical="center"/>
    </xf>
    <xf numFmtId="49" fontId="10" fillId="2" borderId="99" xfId="0" applyNumberFormat="1" applyFont="1" applyFill="1" applyBorder="1" applyAlignment="1">
      <alignment horizontal="center" vertical="center"/>
    </xf>
    <xf numFmtId="0" fontId="13" fillId="0" borderId="100" xfId="0" applyFont="1" applyBorder="1">
      <alignment vertical="center"/>
    </xf>
    <xf numFmtId="0" fontId="13" fillId="0" borderId="35" xfId="0" applyFont="1" applyBorder="1">
      <alignment vertical="center"/>
    </xf>
    <xf numFmtId="0" fontId="13" fillId="0" borderId="40" xfId="0" applyFont="1" applyBorder="1">
      <alignment vertical="center"/>
    </xf>
    <xf numFmtId="0" fontId="13" fillId="0" borderId="59" xfId="0" applyFont="1" applyBorder="1">
      <alignment vertical="center"/>
    </xf>
    <xf numFmtId="0" fontId="13" fillId="0" borderId="36" xfId="0" applyFont="1" applyBorder="1">
      <alignment vertical="center"/>
    </xf>
    <xf numFmtId="0" fontId="13" fillId="0" borderId="34" xfId="0" applyFont="1" applyBorder="1">
      <alignment vertical="center"/>
    </xf>
    <xf numFmtId="0" fontId="13" fillId="0" borderId="101" xfId="0" applyFont="1" applyBorder="1">
      <alignment vertical="center"/>
    </xf>
    <xf numFmtId="0" fontId="13" fillId="0" borderId="103" xfId="0" applyFont="1" applyBorder="1">
      <alignment vertical="center"/>
    </xf>
    <xf numFmtId="0" fontId="13" fillId="0" borderId="104" xfId="0" applyFont="1" applyBorder="1">
      <alignment vertical="center"/>
    </xf>
    <xf numFmtId="0" fontId="13" fillId="0" borderId="102" xfId="0" applyFont="1" applyBorder="1">
      <alignment vertical="center"/>
    </xf>
    <xf numFmtId="49" fontId="10" fillId="2" borderId="105" xfId="0" applyNumberFormat="1" applyFont="1" applyFill="1" applyBorder="1" applyAlignment="1">
      <alignment horizontal="center" vertical="center"/>
    </xf>
    <xf numFmtId="0" fontId="13" fillId="0" borderId="107" xfId="0" applyFont="1" applyBorder="1">
      <alignment vertical="center"/>
    </xf>
    <xf numFmtId="0" fontId="13" fillId="0" borderId="106" xfId="0" applyFont="1" applyBorder="1">
      <alignment vertical="center"/>
    </xf>
    <xf numFmtId="0" fontId="13" fillId="0" borderId="108" xfId="0" applyFont="1" applyBorder="1">
      <alignment vertical="center"/>
    </xf>
    <xf numFmtId="0" fontId="13" fillId="0" borderId="109" xfId="0" applyFont="1" applyBorder="1">
      <alignment vertical="center"/>
    </xf>
    <xf numFmtId="0" fontId="13" fillId="0" borderId="110" xfId="0" applyFont="1" applyBorder="1">
      <alignment vertical="center"/>
    </xf>
    <xf numFmtId="49" fontId="10" fillId="2" borderId="111" xfId="0" applyNumberFormat="1" applyFont="1" applyFill="1" applyBorder="1" applyAlignment="1">
      <alignment horizontal="center" vertical="center"/>
    </xf>
    <xf numFmtId="0" fontId="13" fillId="0" borderId="113" xfId="0" applyFont="1" applyBorder="1">
      <alignment vertical="center"/>
    </xf>
    <xf numFmtId="0" fontId="13" fillId="0" borderId="112" xfId="0" applyFont="1" applyBorder="1">
      <alignment vertical="center"/>
    </xf>
    <xf numFmtId="0" fontId="13" fillId="0" borderId="114" xfId="0" applyFont="1" applyBorder="1">
      <alignment vertical="center"/>
    </xf>
    <xf numFmtId="0" fontId="13" fillId="0" borderId="115" xfId="0" applyFont="1" applyBorder="1">
      <alignment vertical="center"/>
    </xf>
    <xf numFmtId="49" fontId="10" fillId="2" borderId="116" xfId="0" applyNumberFormat="1" applyFont="1" applyFill="1" applyBorder="1" applyAlignment="1">
      <alignment horizontal="center" vertical="center"/>
    </xf>
    <xf numFmtId="49" fontId="11" fillId="0" borderId="120" xfId="0" applyNumberFormat="1" applyFont="1" applyBorder="1" applyAlignment="1" applyProtection="1">
      <alignment horizontal="center" vertical="center" wrapText="1"/>
      <protection locked="0"/>
    </xf>
    <xf numFmtId="49" fontId="11" fillId="0" borderId="119" xfId="0" applyNumberFormat="1" applyFont="1" applyBorder="1" applyAlignment="1" applyProtection="1">
      <alignment horizontal="center" vertical="center" wrapText="1"/>
      <protection locked="0"/>
    </xf>
    <xf numFmtId="49" fontId="11" fillId="0" borderId="117" xfId="0" applyNumberFormat="1" applyFont="1" applyBorder="1" applyAlignment="1" applyProtection="1">
      <alignment horizontal="center" vertical="center"/>
      <protection locked="0"/>
    </xf>
    <xf numFmtId="0" fontId="13" fillId="0" borderId="122" xfId="0" applyFont="1" applyBorder="1">
      <alignment vertical="center"/>
    </xf>
    <xf numFmtId="0" fontId="13" fillId="0" borderId="119" xfId="0" applyFont="1" applyBorder="1">
      <alignment vertical="center"/>
    </xf>
    <xf numFmtId="0" fontId="13" fillId="0" borderId="117" xfId="0" applyFont="1" applyBorder="1">
      <alignment vertical="center"/>
    </xf>
    <xf numFmtId="0" fontId="13" fillId="0" borderId="123" xfId="0" applyFont="1" applyBorder="1">
      <alignment vertical="center"/>
    </xf>
    <xf numFmtId="0" fontId="13" fillId="0" borderId="121" xfId="0" applyFont="1" applyBorder="1">
      <alignment vertical="center"/>
    </xf>
    <xf numFmtId="0" fontId="13" fillId="0" borderId="118" xfId="0" applyFont="1" applyBorder="1">
      <alignment vertical="center"/>
    </xf>
    <xf numFmtId="0" fontId="13" fillId="0" borderId="124" xfId="0" applyFont="1" applyBorder="1">
      <alignment vertical="center"/>
    </xf>
    <xf numFmtId="49" fontId="10" fillId="2" borderId="125" xfId="0" applyNumberFormat="1" applyFont="1" applyFill="1" applyBorder="1" applyAlignment="1">
      <alignment horizontal="center" vertical="center"/>
    </xf>
    <xf numFmtId="49" fontId="11" fillId="0" borderId="47" xfId="0" applyNumberFormat="1" applyFont="1" applyBorder="1" applyAlignment="1" applyProtection="1">
      <alignment horizontal="center" vertical="center" wrapText="1"/>
      <protection locked="0"/>
    </xf>
    <xf numFmtId="49" fontId="11" fillId="0" borderId="48" xfId="0" applyNumberFormat="1" applyFont="1" applyBorder="1" applyAlignment="1" applyProtection="1">
      <alignment horizontal="center" vertical="center" wrapText="1"/>
      <protection locked="0"/>
    </xf>
    <xf numFmtId="49" fontId="11" fillId="0" borderId="51" xfId="0" applyNumberFormat="1" applyFont="1" applyBorder="1" applyAlignment="1" applyProtection="1">
      <alignment horizontal="center" vertical="center"/>
      <protection locked="0"/>
    </xf>
    <xf numFmtId="49" fontId="10" fillId="2" borderId="2" xfId="0" applyNumberFormat="1" applyFont="1" applyFill="1" applyBorder="1" applyAlignment="1">
      <alignment horizontal="center" vertical="center"/>
    </xf>
    <xf numFmtId="49" fontId="10" fillId="2" borderId="126" xfId="0" applyNumberFormat="1" applyFont="1" applyFill="1" applyBorder="1" applyAlignment="1">
      <alignment horizontal="center" vertical="center"/>
    </xf>
    <xf numFmtId="49" fontId="11" fillId="0" borderId="128" xfId="0" applyNumberFormat="1" applyFont="1" applyBorder="1" applyAlignment="1" applyProtection="1">
      <alignment horizontal="center" vertical="center" wrapText="1"/>
      <protection locked="0"/>
    </xf>
    <xf numFmtId="49" fontId="11" fillId="0" borderId="129" xfId="0" applyNumberFormat="1" applyFont="1" applyBorder="1" applyAlignment="1" applyProtection="1">
      <alignment horizontal="center" vertical="center" wrapText="1"/>
      <protection locked="0"/>
    </xf>
    <xf numFmtId="49" fontId="11" fillId="0" borderId="130" xfId="0" applyNumberFormat="1" applyFont="1" applyBorder="1" applyAlignment="1" applyProtection="1">
      <alignment horizontal="center" vertical="center"/>
      <protection locked="0"/>
    </xf>
    <xf numFmtId="0" fontId="13" fillId="0" borderId="131" xfId="0" applyFont="1" applyBorder="1">
      <alignment vertical="center"/>
    </xf>
    <xf numFmtId="0" fontId="13" fillId="0" borderId="132" xfId="0" applyFont="1" applyBorder="1">
      <alignment vertical="center"/>
    </xf>
    <xf numFmtId="0" fontId="13" fillId="0" borderId="127" xfId="0" applyFont="1" applyBorder="1">
      <alignment vertical="center"/>
    </xf>
    <xf numFmtId="0" fontId="13" fillId="0" borderId="133" xfId="0" applyFont="1" applyBorder="1">
      <alignment vertical="center"/>
    </xf>
    <xf numFmtId="0" fontId="13" fillId="0" borderId="134" xfId="0" applyFont="1" applyBorder="1">
      <alignment vertical="center"/>
    </xf>
    <xf numFmtId="0" fontId="13" fillId="0" borderId="135" xfId="0" applyFont="1" applyBorder="1">
      <alignment vertical="center"/>
    </xf>
    <xf numFmtId="0" fontId="13" fillId="0" borderId="136" xfId="0" applyFont="1" applyBorder="1">
      <alignment vertical="center"/>
    </xf>
    <xf numFmtId="49" fontId="10" fillId="2" borderId="137" xfId="0" applyNumberFormat="1" applyFont="1" applyFill="1" applyBorder="1" applyAlignment="1">
      <alignment horizontal="center" vertical="center"/>
    </xf>
    <xf numFmtId="49" fontId="10" fillId="2" borderId="138" xfId="0" applyNumberFormat="1" applyFont="1" applyFill="1" applyBorder="1" applyAlignment="1">
      <alignment horizontal="center" vertical="center"/>
    </xf>
    <xf numFmtId="0" fontId="13" fillId="0" borderId="140" xfId="0" applyFont="1" applyBorder="1">
      <alignment vertical="center"/>
    </xf>
    <xf numFmtId="0" fontId="13" fillId="0" borderId="139" xfId="0" applyFont="1" applyBorder="1">
      <alignment vertical="center"/>
    </xf>
    <xf numFmtId="0" fontId="13" fillId="0" borderId="141" xfId="0" applyFont="1" applyBorder="1">
      <alignment vertical="center"/>
    </xf>
    <xf numFmtId="0" fontId="13" fillId="0" borderId="142" xfId="0" applyFont="1" applyBorder="1">
      <alignment vertical="center"/>
    </xf>
    <xf numFmtId="49" fontId="10" fillId="2" borderId="143" xfId="0" applyNumberFormat="1" applyFont="1" applyFill="1" applyBorder="1" applyAlignment="1">
      <alignment horizontal="center" vertical="center"/>
    </xf>
    <xf numFmtId="0" fontId="1" fillId="2" borderId="144" xfId="0" applyFont="1" applyFill="1" applyBorder="1" applyAlignment="1">
      <alignment horizontal="center" vertical="center"/>
    </xf>
    <xf numFmtId="49" fontId="11" fillId="2" borderId="144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145" xfId="0" applyFont="1" applyBorder="1">
      <alignment vertical="center"/>
    </xf>
    <xf numFmtId="0" fontId="13" fillId="0" borderId="144" xfId="0" applyFont="1" applyBorder="1">
      <alignment vertical="center"/>
    </xf>
    <xf numFmtId="0" fontId="13" fillId="0" borderId="146" xfId="0" applyFont="1" applyBorder="1">
      <alignment vertical="center"/>
    </xf>
    <xf numFmtId="0" fontId="13" fillId="0" borderId="147" xfId="0" applyFont="1" applyBorder="1">
      <alignment vertical="center"/>
    </xf>
    <xf numFmtId="49" fontId="10" fillId="2" borderId="148" xfId="0" applyNumberFormat="1" applyFont="1" applyFill="1" applyBorder="1" applyAlignment="1">
      <alignment horizontal="center" vertical="center"/>
    </xf>
    <xf numFmtId="49" fontId="10" fillId="2" borderId="149" xfId="0" applyNumberFormat="1" applyFont="1" applyFill="1" applyBorder="1" applyAlignment="1">
      <alignment horizontal="center" vertical="center"/>
    </xf>
    <xf numFmtId="0" fontId="1" fillId="2" borderId="150" xfId="0" applyFont="1" applyFill="1" applyBorder="1" applyAlignment="1">
      <alignment horizontal="center" vertical="center"/>
    </xf>
    <xf numFmtId="49" fontId="11" fillId="0" borderId="151" xfId="0" applyNumberFormat="1" applyFont="1" applyBorder="1" applyAlignment="1" applyProtection="1">
      <alignment horizontal="center" vertical="center" wrapText="1"/>
      <protection locked="0"/>
    </xf>
    <xf numFmtId="49" fontId="11" fillId="0" borderId="152" xfId="0" applyNumberFormat="1" applyFont="1" applyBorder="1" applyAlignment="1" applyProtection="1">
      <alignment horizontal="center" vertical="center" wrapText="1"/>
      <protection locked="0"/>
    </xf>
    <xf numFmtId="49" fontId="11" fillId="0" borderId="150" xfId="0" applyNumberFormat="1" applyFont="1" applyBorder="1" applyAlignment="1" applyProtection="1">
      <alignment horizontal="center" vertical="center"/>
      <protection locked="0"/>
    </xf>
    <xf numFmtId="0" fontId="13" fillId="0" borderId="155" xfId="0" applyFont="1" applyBorder="1">
      <alignment vertical="center"/>
    </xf>
    <xf numFmtId="0" fontId="13" fillId="0" borderId="156" xfId="0" applyFont="1" applyBorder="1">
      <alignment vertical="center"/>
    </xf>
    <xf numFmtId="0" fontId="13" fillId="0" borderId="157" xfId="0" applyFont="1" applyBorder="1">
      <alignment vertical="center"/>
    </xf>
    <xf numFmtId="0" fontId="13" fillId="0" borderId="158" xfId="0" applyFont="1" applyBorder="1">
      <alignment vertical="center"/>
    </xf>
    <xf numFmtId="0" fontId="13" fillId="0" borderId="159" xfId="0" applyFont="1" applyBorder="1">
      <alignment vertical="center"/>
    </xf>
    <xf numFmtId="49" fontId="10" fillId="2" borderId="160" xfId="0" applyNumberFormat="1" applyFont="1" applyFill="1" applyBorder="1" applyAlignment="1">
      <alignment horizontal="center" vertical="center"/>
    </xf>
    <xf numFmtId="49" fontId="11" fillId="2" borderId="162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163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161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162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164" xfId="0" applyNumberFormat="1" applyFont="1" applyBorder="1" applyAlignment="1" applyProtection="1">
      <alignment horizontal="center" vertical="center" wrapText="1"/>
      <protection locked="0"/>
    </xf>
    <xf numFmtId="49" fontId="11" fillId="0" borderId="163" xfId="0" applyNumberFormat="1" applyFont="1" applyBorder="1" applyAlignment="1" applyProtection="1">
      <alignment horizontal="center" vertical="center" wrapText="1"/>
      <protection locked="0"/>
    </xf>
    <xf numFmtId="49" fontId="11" fillId="0" borderId="161" xfId="0" applyNumberFormat="1" applyFont="1" applyBorder="1" applyAlignment="1" applyProtection="1">
      <alignment horizontal="center" vertical="center"/>
      <protection locked="0"/>
    </xf>
    <xf numFmtId="0" fontId="13" fillId="0" borderId="166" xfId="0" applyFont="1" applyBorder="1">
      <alignment vertical="center"/>
    </xf>
    <xf numFmtId="0" fontId="13" fillId="0" borderId="163" xfId="0" applyFont="1" applyBorder="1">
      <alignment vertical="center"/>
    </xf>
    <xf numFmtId="0" fontId="13" fillId="0" borderId="161" xfId="0" applyFont="1" applyBorder="1">
      <alignment vertical="center"/>
    </xf>
    <xf numFmtId="0" fontId="13" fillId="0" borderId="167" xfId="0" applyFont="1" applyBorder="1">
      <alignment vertical="center"/>
    </xf>
    <xf numFmtId="0" fontId="13" fillId="0" borderId="165" xfId="0" applyFont="1" applyBorder="1">
      <alignment vertical="center"/>
    </xf>
    <xf numFmtId="0" fontId="13" fillId="0" borderId="162" xfId="0" applyFont="1" applyBorder="1">
      <alignment vertical="center"/>
    </xf>
    <xf numFmtId="0" fontId="13" fillId="0" borderId="168" xfId="0" applyFont="1" applyBorder="1">
      <alignment vertical="center"/>
    </xf>
    <xf numFmtId="49" fontId="19" fillId="2" borderId="28" xfId="0" applyNumberFormat="1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49" fontId="11" fillId="2" borderId="31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98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31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33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54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33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32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54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169" xfId="0" applyNumberFormat="1" applyFont="1" applyFill="1" applyBorder="1" applyAlignment="1">
      <alignment horizontal="center" vertical="center"/>
    </xf>
    <xf numFmtId="0" fontId="13" fillId="0" borderId="171" xfId="0" applyFont="1" applyBorder="1">
      <alignment vertical="center"/>
    </xf>
    <xf numFmtId="0" fontId="13" fillId="0" borderId="152" xfId="0" applyFont="1" applyBorder="1">
      <alignment vertical="center"/>
    </xf>
    <xf numFmtId="0" fontId="13" fillId="0" borderId="150" xfId="0" applyFont="1" applyBorder="1">
      <alignment vertical="center"/>
    </xf>
    <xf numFmtId="0" fontId="13" fillId="0" borderId="172" xfId="0" applyFont="1" applyBorder="1">
      <alignment vertical="center"/>
    </xf>
    <xf numFmtId="0" fontId="13" fillId="0" borderId="154" xfId="0" applyFont="1" applyBorder="1">
      <alignment vertical="center"/>
    </xf>
    <xf numFmtId="0" fontId="13" fillId="0" borderId="153" xfId="0" applyFont="1" applyBorder="1">
      <alignment vertical="center"/>
    </xf>
    <xf numFmtId="0" fontId="13" fillId="0" borderId="173" xfId="0" applyFont="1" applyBorder="1">
      <alignment vertical="center"/>
    </xf>
    <xf numFmtId="49" fontId="19" fillId="2" borderId="174" xfId="0" applyNumberFormat="1" applyFont="1" applyFill="1" applyBorder="1" applyAlignment="1">
      <alignment horizontal="center" vertical="center"/>
    </xf>
    <xf numFmtId="0" fontId="13" fillId="0" borderId="175" xfId="0" applyFont="1" applyBorder="1">
      <alignment vertical="center"/>
    </xf>
    <xf numFmtId="0" fontId="13" fillId="0" borderId="176" xfId="0" applyFont="1" applyBorder="1">
      <alignment vertical="center"/>
    </xf>
    <xf numFmtId="0" fontId="13" fillId="0" borderId="177" xfId="0" applyFont="1" applyBorder="1">
      <alignment vertical="center"/>
    </xf>
    <xf numFmtId="0" fontId="13" fillId="0" borderId="178" xfId="0" applyFont="1" applyBorder="1">
      <alignment vertical="center"/>
    </xf>
    <xf numFmtId="0" fontId="13" fillId="0" borderId="179" xfId="0" applyFont="1" applyBorder="1">
      <alignment vertical="center"/>
    </xf>
    <xf numFmtId="0" fontId="13" fillId="0" borderId="180" xfId="0" applyFont="1" applyBorder="1">
      <alignment vertical="center"/>
    </xf>
    <xf numFmtId="0" fontId="13" fillId="0" borderId="181" xfId="0" applyFont="1" applyBorder="1">
      <alignment vertical="center"/>
    </xf>
    <xf numFmtId="0" fontId="1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2" borderId="184" xfId="0" quotePrefix="1" applyFont="1" applyFill="1" applyBorder="1" applyAlignment="1">
      <alignment horizontal="center" vertical="top" wrapText="1"/>
    </xf>
    <xf numFmtId="49" fontId="11" fillId="2" borderId="54" xfId="0" applyNumberFormat="1" applyFont="1" applyFill="1" applyBorder="1" applyAlignment="1">
      <alignment horizontal="center" vertical="top" wrapText="1"/>
    </xf>
    <xf numFmtId="49" fontId="11" fillId="2" borderId="32" xfId="0" applyNumberFormat="1" applyFont="1" applyFill="1" applyBorder="1" applyAlignment="1">
      <alignment horizontal="center" vertical="top" wrapText="1"/>
    </xf>
    <xf numFmtId="49" fontId="11" fillId="2" borderId="184" xfId="0" applyNumberFormat="1" applyFont="1" applyFill="1" applyBorder="1" applyAlignment="1">
      <alignment horizontal="center" vertical="top" wrapText="1"/>
    </xf>
    <xf numFmtId="49" fontId="11" fillId="2" borderId="31" xfId="0" applyNumberFormat="1" applyFont="1" applyFill="1" applyBorder="1" applyAlignment="1">
      <alignment horizontal="center" vertical="top" wrapText="1" shrinkToFit="1"/>
    </xf>
    <xf numFmtId="49" fontId="11" fillId="2" borderId="32" xfId="0" applyNumberFormat="1" applyFont="1" applyFill="1" applyBorder="1" applyAlignment="1">
      <alignment horizontal="center" vertical="top" wrapText="1" shrinkToFit="1"/>
    </xf>
    <xf numFmtId="0" fontId="11" fillId="2" borderId="187" xfId="0" applyFont="1" applyFill="1" applyBorder="1" applyAlignment="1">
      <alignment horizontal="center" vertical="center"/>
    </xf>
    <xf numFmtId="0" fontId="11" fillId="2" borderId="185" xfId="0" quotePrefix="1" applyFont="1" applyFill="1" applyBorder="1" applyAlignment="1">
      <alignment horizontal="center" vertical="top" wrapText="1"/>
    </xf>
    <xf numFmtId="0" fontId="11" fillId="2" borderId="113" xfId="0" applyFont="1" applyFill="1" applyBorder="1" applyAlignment="1">
      <alignment horizontal="center" vertical="top" wrapText="1"/>
    </xf>
    <xf numFmtId="0" fontId="11" fillId="2" borderId="114" xfId="0" applyFont="1" applyFill="1" applyBorder="1" applyAlignment="1">
      <alignment horizontal="center" vertical="top" wrapText="1"/>
    </xf>
    <xf numFmtId="49" fontId="11" fillId="2" borderId="109" xfId="0" applyNumberFormat="1" applyFont="1" applyFill="1" applyBorder="1" applyAlignment="1">
      <alignment horizontal="center" vertical="top" wrapText="1"/>
    </xf>
    <xf numFmtId="49" fontId="11" fillId="2" borderId="113" xfId="0" applyNumberFormat="1" applyFont="1" applyFill="1" applyBorder="1" applyAlignment="1">
      <alignment horizontal="center" vertical="top" wrapText="1"/>
    </xf>
    <xf numFmtId="49" fontId="11" fillId="2" borderId="144" xfId="0" applyNumberFormat="1" applyFont="1" applyFill="1" applyBorder="1" applyAlignment="1">
      <alignment horizontal="center" vertical="top" wrapText="1"/>
    </xf>
    <xf numFmtId="49" fontId="11" fillId="2" borderId="114" xfId="0" applyNumberFormat="1" applyFont="1" applyFill="1" applyBorder="1" applyAlignment="1">
      <alignment horizontal="center" vertical="top" wrapText="1"/>
    </xf>
    <xf numFmtId="49" fontId="11" fillId="2" borderId="185" xfId="0" applyNumberFormat="1" applyFont="1" applyFill="1" applyBorder="1" applyAlignment="1">
      <alignment horizontal="center" vertical="top" wrapText="1"/>
    </xf>
    <xf numFmtId="49" fontId="11" fillId="2" borderId="113" xfId="0" applyNumberFormat="1" applyFont="1" applyFill="1" applyBorder="1" applyAlignment="1">
      <alignment horizontal="center" vertical="top" wrapText="1" shrinkToFit="1"/>
    </xf>
    <xf numFmtId="49" fontId="11" fillId="2" borderId="114" xfId="0" applyNumberFormat="1" applyFont="1" applyFill="1" applyBorder="1" applyAlignment="1">
      <alignment horizontal="center" vertical="top" wrapText="1" shrinkToFit="1"/>
    </xf>
    <xf numFmtId="0" fontId="11" fillId="2" borderId="109" xfId="0" applyFont="1" applyFill="1" applyBorder="1" applyAlignment="1">
      <alignment horizontal="center" vertical="top" wrapText="1"/>
    </xf>
    <xf numFmtId="0" fontId="11" fillId="2" borderId="170" xfId="0" applyFont="1" applyFill="1" applyBorder="1" applyAlignment="1">
      <alignment horizontal="center" vertical="top" wrapText="1"/>
    </xf>
    <xf numFmtId="0" fontId="11" fillId="2" borderId="155" xfId="0" applyFont="1" applyFill="1" applyBorder="1" applyAlignment="1">
      <alignment horizontal="center" vertical="top" wrapText="1"/>
    </xf>
    <xf numFmtId="0" fontId="11" fillId="2" borderId="158" xfId="0" applyFont="1" applyFill="1" applyBorder="1" applyAlignment="1">
      <alignment horizontal="center" vertical="top" wrapText="1"/>
    </xf>
    <xf numFmtId="49" fontId="11" fillId="2" borderId="135" xfId="0" applyNumberFormat="1" applyFont="1" applyFill="1" applyBorder="1" applyAlignment="1">
      <alignment horizontal="center" vertical="top" wrapText="1"/>
    </xf>
    <xf numFmtId="49" fontId="11" fillId="2" borderId="155" xfId="0" applyNumberFormat="1" applyFont="1" applyFill="1" applyBorder="1" applyAlignment="1">
      <alignment horizontal="center" vertical="top" wrapText="1"/>
    </xf>
    <xf numFmtId="49" fontId="11" fillId="2" borderId="156" xfId="0" applyNumberFormat="1" applyFont="1" applyFill="1" applyBorder="1" applyAlignment="1">
      <alignment horizontal="center" vertical="top" wrapText="1"/>
    </xf>
    <xf numFmtId="49" fontId="11" fillId="2" borderId="158" xfId="0" applyNumberFormat="1" applyFont="1" applyFill="1" applyBorder="1" applyAlignment="1">
      <alignment horizontal="center" vertical="top" wrapText="1"/>
    </xf>
    <xf numFmtId="49" fontId="11" fillId="2" borderId="170" xfId="0" applyNumberFormat="1" applyFont="1" applyFill="1" applyBorder="1" applyAlignment="1">
      <alignment horizontal="center" vertical="top" wrapText="1"/>
    </xf>
    <xf numFmtId="49" fontId="11" fillId="2" borderId="155" xfId="0" applyNumberFormat="1" applyFont="1" applyFill="1" applyBorder="1" applyAlignment="1">
      <alignment horizontal="center" vertical="top" wrapText="1" shrinkToFit="1"/>
    </xf>
    <xf numFmtId="49" fontId="11" fillId="2" borderId="158" xfId="0" applyNumberFormat="1" applyFont="1" applyFill="1" applyBorder="1" applyAlignment="1">
      <alignment horizontal="center" vertical="top" wrapText="1" shrinkToFit="1"/>
    </xf>
    <xf numFmtId="0" fontId="11" fillId="2" borderId="135" xfId="0" applyFont="1" applyFill="1" applyBorder="1" applyAlignment="1">
      <alignment horizontal="center" vertical="top" wrapText="1"/>
    </xf>
    <xf numFmtId="49" fontId="11" fillId="2" borderId="156" xfId="0" applyNumberFormat="1" applyFont="1" applyFill="1" applyBorder="1" applyAlignment="1">
      <alignment vertical="center" wrapText="1"/>
    </xf>
    <xf numFmtId="0" fontId="11" fillId="2" borderId="153" xfId="0" applyFont="1" applyFill="1" applyBorder="1" applyAlignment="1">
      <alignment horizontal="center" vertical="center"/>
    </xf>
    <xf numFmtId="0" fontId="1" fillId="2" borderId="156" xfId="0" applyFont="1" applyFill="1" applyBorder="1" applyAlignment="1">
      <alignment horizontal="center" vertical="center"/>
    </xf>
    <xf numFmtId="0" fontId="11" fillId="2" borderId="164" xfId="0" applyFont="1" applyFill="1" applyBorder="1" applyAlignment="1">
      <alignment horizontal="center" vertical="top" wrapText="1"/>
    </xf>
    <xf numFmtId="0" fontId="11" fillId="2" borderId="163" xfId="0" applyFont="1" applyFill="1" applyBorder="1" applyAlignment="1">
      <alignment horizontal="center" vertical="top" wrapText="1" shrinkToFit="1"/>
    </xf>
    <xf numFmtId="0" fontId="11" fillId="2" borderId="165" xfId="0" applyFont="1" applyFill="1" applyBorder="1" applyAlignment="1">
      <alignment horizontal="center" vertical="top" wrapText="1"/>
    </xf>
    <xf numFmtId="49" fontId="11" fillId="2" borderId="162" xfId="0" applyNumberFormat="1" applyFont="1" applyFill="1" applyBorder="1" applyAlignment="1">
      <alignment horizontal="center" vertical="top" wrapText="1"/>
    </xf>
    <xf numFmtId="49" fontId="11" fillId="2" borderId="163" xfId="0" applyNumberFormat="1" applyFont="1" applyFill="1" applyBorder="1" applyAlignment="1">
      <alignment horizontal="center" vertical="top" wrapText="1"/>
    </xf>
    <xf numFmtId="49" fontId="11" fillId="2" borderId="161" xfId="0" applyNumberFormat="1" applyFont="1" applyFill="1" applyBorder="1" applyAlignment="1">
      <alignment horizontal="center" vertical="top" wrapText="1"/>
    </xf>
    <xf numFmtId="49" fontId="11" fillId="2" borderId="165" xfId="0" applyNumberFormat="1" applyFont="1" applyFill="1" applyBorder="1" applyAlignment="1">
      <alignment horizontal="center" vertical="top" wrapText="1"/>
    </xf>
    <xf numFmtId="49" fontId="11" fillId="2" borderId="164" xfId="0" applyNumberFormat="1" applyFont="1" applyFill="1" applyBorder="1" applyAlignment="1">
      <alignment horizontal="center" vertical="top" wrapText="1"/>
    </xf>
    <xf numFmtId="49" fontId="11" fillId="2" borderId="163" xfId="0" applyNumberFormat="1" applyFont="1" applyFill="1" applyBorder="1" applyAlignment="1">
      <alignment horizontal="center" vertical="top" wrapText="1" shrinkToFit="1"/>
    </xf>
    <xf numFmtId="49" fontId="11" fillId="2" borderId="165" xfId="0" applyNumberFormat="1" applyFont="1" applyFill="1" applyBorder="1" applyAlignment="1">
      <alignment horizontal="center" vertical="top" wrapText="1" shrinkToFit="1"/>
    </xf>
    <xf numFmtId="0" fontId="11" fillId="2" borderId="162" xfId="0" applyFont="1" applyFill="1" applyBorder="1" applyAlignment="1">
      <alignment horizontal="center" vertical="top" wrapText="1"/>
    </xf>
    <xf numFmtId="0" fontId="11" fillId="2" borderId="163" xfId="0" applyFont="1" applyFill="1" applyBorder="1" applyAlignment="1">
      <alignment horizontal="center" vertical="top" wrapText="1"/>
    </xf>
    <xf numFmtId="49" fontId="11" fillId="2" borderId="161" xfId="0" applyNumberFormat="1" applyFont="1" applyFill="1" applyBorder="1" applyAlignment="1">
      <alignment vertical="center" wrapText="1"/>
    </xf>
    <xf numFmtId="0" fontId="11" fillId="2" borderId="184" xfId="0" applyFont="1" applyFill="1" applyBorder="1" applyAlignment="1">
      <alignment horizontal="center" vertical="top" wrapText="1"/>
    </xf>
    <xf numFmtId="0" fontId="11" fillId="2" borderId="73" xfId="0" applyFont="1" applyFill="1" applyBorder="1" applyAlignment="1">
      <alignment horizontal="center" vertical="top" wrapText="1"/>
    </xf>
    <xf numFmtId="0" fontId="11" fillId="2" borderId="75" xfId="0" applyFont="1" applyFill="1" applyBorder="1" applyAlignment="1">
      <alignment horizontal="center" vertical="top" wrapText="1"/>
    </xf>
    <xf numFmtId="0" fontId="11" fillId="2" borderId="135" xfId="0" applyFont="1" applyFill="1" applyBorder="1" applyAlignment="1">
      <alignment horizontal="center" vertical="center"/>
    </xf>
    <xf numFmtId="0" fontId="11" fillId="2" borderId="157" xfId="0" applyFont="1" applyFill="1" applyBorder="1" applyAlignment="1">
      <alignment horizontal="center" vertical="top" wrapText="1"/>
    </xf>
    <xf numFmtId="0" fontId="11" fillId="2" borderId="156" xfId="0" applyFont="1" applyFill="1" applyBorder="1" applyAlignment="1">
      <alignment horizontal="center" vertical="top" wrapText="1"/>
    </xf>
    <xf numFmtId="0" fontId="11" fillId="2" borderId="182" xfId="0" applyFont="1" applyFill="1" applyBorder="1" applyAlignment="1">
      <alignment horizontal="center" vertical="top" wrapText="1"/>
    </xf>
    <xf numFmtId="0" fontId="11" fillId="2" borderId="109" xfId="0" applyFont="1" applyFill="1" applyBorder="1" applyAlignment="1">
      <alignment horizontal="center" vertical="center"/>
    </xf>
    <xf numFmtId="0" fontId="11" fillId="2" borderId="188" xfId="0" applyFont="1" applyFill="1" applyBorder="1" applyAlignment="1">
      <alignment horizontal="center" vertical="center"/>
    </xf>
    <xf numFmtId="0" fontId="11" fillId="2" borderId="189" xfId="0" applyFont="1" applyFill="1" applyBorder="1" applyAlignment="1">
      <alignment horizontal="center" vertical="top" wrapText="1"/>
    </xf>
    <xf numFmtId="0" fontId="11" fillId="2" borderId="190" xfId="0" applyFont="1" applyFill="1" applyBorder="1" applyAlignment="1">
      <alignment horizontal="center" vertical="top" wrapText="1"/>
    </xf>
    <xf numFmtId="0" fontId="11" fillId="2" borderId="185" xfId="0" applyFont="1" applyFill="1" applyBorder="1" applyAlignment="1">
      <alignment horizontal="center" vertical="top" wrapText="1"/>
    </xf>
    <xf numFmtId="0" fontId="11" fillId="2" borderId="144" xfId="0" applyFont="1" applyFill="1" applyBorder="1" applyAlignment="1">
      <alignment horizontal="center" vertical="top" wrapText="1"/>
    </xf>
    <xf numFmtId="0" fontId="11" fillId="2" borderId="186" xfId="0" applyFont="1" applyFill="1" applyBorder="1" applyAlignment="1">
      <alignment horizontal="center" vertical="top" wrapText="1"/>
    </xf>
    <xf numFmtId="0" fontId="11" fillId="2" borderId="191" xfId="0" applyFont="1" applyFill="1" applyBorder="1" applyAlignment="1">
      <alignment horizontal="center" vertical="center"/>
    </xf>
    <xf numFmtId="0" fontId="11" fillId="2" borderId="192" xfId="0" applyFont="1" applyFill="1" applyBorder="1" applyAlignment="1">
      <alignment horizontal="center" vertical="top" wrapText="1"/>
    </xf>
    <xf numFmtId="0" fontId="11" fillId="2" borderId="193" xfId="0" applyFont="1" applyFill="1" applyBorder="1" applyAlignment="1">
      <alignment horizontal="center" vertical="center"/>
    </xf>
    <xf numFmtId="0" fontId="11" fillId="2" borderId="194" xfId="0" applyFont="1" applyFill="1" applyBorder="1" applyAlignment="1">
      <alignment horizontal="center" vertical="top" wrapText="1"/>
    </xf>
    <xf numFmtId="0" fontId="11" fillId="2" borderId="195" xfId="0" applyFont="1" applyFill="1" applyBorder="1" applyAlignment="1">
      <alignment horizontal="center" vertical="top" wrapText="1"/>
    </xf>
    <xf numFmtId="0" fontId="11" fillId="2" borderId="196" xfId="0" applyFont="1" applyFill="1" applyBorder="1" applyAlignment="1">
      <alignment horizontal="center" vertical="top" wrapText="1"/>
    </xf>
    <xf numFmtId="0" fontId="11" fillId="2" borderId="197" xfId="0" applyFont="1" applyFill="1" applyBorder="1" applyAlignment="1">
      <alignment horizontal="center" vertical="center"/>
    </xf>
    <xf numFmtId="0" fontId="11" fillId="2" borderId="198" xfId="0" applyFont="1" applyFill="1" applyBorder="1" applyAlignment="1">
      <alignment horizontal="center" vertical="top" wrapText="1"/>
    </xf>
    <xf numFmtId="0" fontId="11" fillId="2" borderId="199" xfId="0" applyFont="1" applyFill="1" applyBorder="1" applyAlignment="1">
      <alignment horizontal="center" vertical="top" wrapText="1"/>
    </xf>
    <xf numFmtId="0" fontId="11" fillId="2" borderId="200" xfId="0" applyFont="1" applyFill="1" applyBorder="1" applyAlignment="1">
      <alignment horizontal="center" vertical="top" wrapText="1"/>
    </xf>
    <xf numFmtId="0" fontId="11" fillId="2" borderId="201" xfId="0" applyFont="1" applyFill="1" applyBorder="1" applyAlignment="1">
      <alignment horizontal="center" vertical="center"/>
    </xf>
    <xf numFmtId="0" fontId="11" fillId="2" borderId="167" xfId="0" applyFont="1" applyFill="1" applyBorder="1" applyAlignment="1">
      <alignment horizontal="center" vertical="top" wrapText="1"/>
    </xf>
    <xf numFmtId="0" fontId="11" fillId="2" borderId="183" xfId="0" applyFont="1" applyFill="1" applyBorder="1" applyAlignment="1">
      <alignment horizontal="center" vertical="top" wrapText="1"/>
    </xf>
    <xf numFmtId="0" fontId="11" fillId="2" borderId="202" xfId="0" applyFont="1" applyFill="1" applyBorder="1" applyAlignment="1">
      <alignment horizontal="center" vertical="center"/>
    </xf>
    <xf numFmtId="0" fontId="1" fillId="2" borderId="203" xfId="0" applyFont="1" applyFill="1" applyBorder="1" applyAlignment="1">
      <alignment horizontal="center" vertical="center"/>
    </xf>
    <xf numFmtId="49" fontId="11" fillId="2" borderId="204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205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206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205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207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206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204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208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08" xfId="0" applyFont="1" applyFill="1" applyBorder="1" applyAlignment="1">
      <alignment horizontal="center" vertical="center"/>
    </xf>
    <xf numFmtId="49" fontId="11" fillId="2" borderId="208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207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44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209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203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210" xfId="0" applyFont="1" applyFill="1" applyBorder="1" applyAlignment="1">
      <alignment horizontal="center" vertical="center"/>
    </xf>
    <xf numFmtId="0" fontId="1" fillId="2" borderId="211" xfId="0" applyFont="1" applyFill="1" applyBorder="1" applyAlignment="1">
      <alignment horizontal="center" vertical="center"/>
    </xf>
    <xf numFmtId="49" fontId="11" fillId="2" borderId="212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213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214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213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212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214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215" xfId="0" applyFont="1" applyFill="1" applyBorder="1" applyAlignment="1">
      <alignment horizontal="center" vertical="center"/>
    </xf>
    <xf numFmtId="0" fontId="1" fillId="2" borderId="214" xfId="0" applyFont="1" applyFill="1" applyBorder="1" applyAlignment="1">
      <alignment horizontal="center" vertical="center"/>
    </xf>
    <xf numFmtId="49" fontId="11" fillId="2" borderId="216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211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217" xfId="0" applyFont="1" applyFill="1" applyBorder="1" applyAlignment="1">
      <alignment horizontal="center" vertical="center"/>
    </xf>
    <xf numFmtId="0" fontId="1" fillId="2" borderId="218" xfId="0" applyFont="1" applyFill="1" applyBorder="1" applyAlignment="1">
      <alignment horizontal="center" vertical="center"/>
    </xf>
    <xf numFmtId="49" fontId="11" fillId="2" borderId="219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220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218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220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219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221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218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222" xfId="0" applyFont="1" applyFill="1" applyBorder="1" applyAlignment="1">
      <alignment horizontal="center" vertical="center"/>
    </xf>
    <xf numFmtId="49" fontId="11" fillId="2" borderId="223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223" xfId="0" applyNumberFormat="1" applyFont="1" applyFill="1" applyBorder="1" applyAlignment="1" applyProtection="1">
      <alignment horizontal="center" vertical="center" wrapText="1"/>
      <protection locked="0"/>
    </xf>
    <xf numFmtId="0" fontId="17" fillId="2" borderId="224" xfId="0" applyFont="1" applyFill="1" applyBorder="1" applyAlignment="1">
      <alignment horizontal="center" vertical="center"/>
    </xf>
    <xf numFmtId="0" fontId="18" fillId="2" borderId="218" xfId="0" applyFont="1" applyFill="1" applyBorder="1" applyAlignment="1">
      <alignment horizontal="center" vertical="center"/>
    </xf>
    <xf numFmtId="49" fontId="11" fillId="2" borderId="221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225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225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226" xfId="0" applyFont="1" applyFill="1" applyBorder="1" applyAlignment="1">
      <alignment horizontal="center" vertical="center"/>
    </xf>
    <xf numFmtId="0" fontId="10" fillId="2" borderId="214" xfId="0" applyFont="1" applyFill="1" applyBorder="1" applyAlignment="1">
      <alignment horizontal="center" vertical="center"/>
    </xf>
    <xf numFmtId="49" fontId="11" fillId="2" borderId="211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216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227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228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227" xfId="0" applyNumberFormat="1" applyFont="1" applyFill="1" applyBorder="1" applyAlignment="1" applyProtection="1">
      <alignment horizontal="center" vertical="center" wrapText="1"/>
      <protection locked="0"/>
    </xf>
    <xf numFmtId="49" fontId="0" fillId="2" borderId="223" xfId="0" applyNumberFormat="1" applyFill="1" applyBorder="1" applyAlignment="1">
      <alignment vertical="center" wrapText="1"/>
    </xf>
    <xf numFmtId="49" fontId="11" fillId="2" borderId="228" xfId="0" applyNumberFormat="1" applyFont="1" applyFill="1" applyBorder="1" applyAlignment="1" applyProtection="1">
      <alignment horizontal="center" vertical="center" wrapText="1" shrinkToFit="1"/>
      <protection locked="0"/>
    </xf>
    <xf numFmtId="0" fontId="11" fillId="2" borderId="229" xfId="0" applyFont="1" applyFill="1" applyBorder="1" applyAlignment="1">
      <alignment horizontal="center" vertical="center"/>
    </xf>
    <xf numFmtId="0" fontId="10" fillId="2" borderId="218" xfId="0" applyFont="1" applyFill="1" applyBorder="1" applyAlignment="1">
      <alignment horizontal="center" vertical="center"/>
    </xf>
    <xf numFmtId="176" fontId="4" fillId="0" borderId="0" xfId="0" applyNumberFormat="1" applyFont="1" applyAlignment="1">
      <alignment vertical="top"/>
    </xf>
    <xf numFmtId="0" fontId="11" fillId="2" borderId="230" xfId="0" applyFont="1" applyFill="1" applyBorder="1" applyAlignment="1">
      <alignment horizontal="center" vertical="center"/>
    </xf>
    <xf numFmtId="0" fontId="10" fillId="2" borderId="117" xfId="0" applyFont="1" applyFill="1" applyBorder="1" applyAlignment="1">
      <alignment horizontal="center" vertical="center"/>
    </xf>
    <xf numFmtId="49" fontId="11" fillId="2" borderId="118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119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117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119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120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121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118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120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121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117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240" xfId="0" applyFont="1" applyBorder="1">
      <alignment vertical="center"/>
    </xf>
    <xf numFmtId="0" fontId="13" fillId="0" borderId="231" xfId="0" applyFont="1" applyBorder="1">
      <alignment vertical="center"/>
    </xf>
    <xf numFmtId="56" fontId="0" fillId="0" borderId="239" xfId="0" quotePrefix="1" applyNumberFormat="1" applyBorder="1">
      <alignment vertical="center"/>
    </xf>
    <xf numFmtId="0" fontId="0" fillId="0" borderId="239" xfId="0" quotePrefix="1" applyBorder="1">
      <alignment vertical="center"/>
    </xf>
    <xf numFmtId="0" fontId="13" fillId="0" borderId="253" xfId="0" applyFont="1" applyBorder="1">
      <alignment vertical="center"/>
    </xf>
    <xf numFmtId="0" fontId="13" fillId="0" borderId="255" xfId="0" applyFont="1" applyBorder="1">
      <alignment vertical="center"/>
    </xf>
    <xf numFmtId="0" fontId="13" fillId="0" borderId="256" xfId="0" applyFont="1" applyBorder="1">
      <alignment vertical="center"/>
    </xf>
    <xf numFmtId="0" fontId="13" fillId="0" borderId="254" xfId="0" applyFont="1" applyBorder="1">
      <alignment vertical="center"/>
    </xf>
    <xf numFmtId="0" fontId="13" fillId="0" borderId="257" xfId="0" applyFont="1" applyBorder="1">
      <alignment vertical="center"/>
    </xf>
    <xf numFmtId="0" fontId="13" fillId="0" borderId="250" xfId="0" applyFont="1" applyBorder="1">
      <alignment vertical="center"/>
    </xf>
    <xf numFmtId="0" fontId="13" fillId="0" borderId="251" xfId="0" applyFont="1" applyBorder="1">
      <alignment vertical="center"/>
    </xf>
    <xf numFmtId="0" fontId="13" fillId="0" borderId="252" xfId="0" applyFont="1" applyBorder="1">
      <alignment vertical="center"/>
    </xf>
    <xf numFmtId="0" fontId="13" fillId="0" borderId="258" xfId="0" applyFont="1" applyBorder="1">
      <alignment vertical="center"/>
    </xf>
    <xf numFmtId="0" fontId="13" fillId="0" borderId="238" xfId="0" applyFont="1" applyBorder="1">
      <alignment vertical="center"/>
    </xf>
    <xf numFmtId="0" fontId="13" fillId="0" borderId="259" xfId="0" applyFont="1" applyBorder="1">
      <alignment vertical="center"/>
    </xf>
    <xf numFmtId="0" fontId="13" fillId="0" borderId="248" xfId="0" applyFont="1" applyBorder="1">
      <alignment vertical="center"/>
    </xf>
    <xf numFmtId="0" fontId="13" fillId="0" borderId="247" xfId="0" applyFont="1" applyBorder="1">
      <alignment vertical="center"/>
    </xf>
    <xf numFmtId="0" fontId="13" fillId="0" borderId="249" xfId="0" applyFont="1" applyBorder="1">
      <alignment vertical="center"/>
    </xf>
    <xf numFmtId="0" fontId="13" fillId="0" borderId="244" xfId="0" applyFont="1" applyBorder="1">
      <alignment vertical="center"/>
    </xf>
    <xf numFmtId="0" fontId="13" fillId="0" borderId="245" xfId="0" applyFont="1" applyBorder="1">
      <alignment vertical="center"/>
    </xf>
    <xf numFmtId="0" fontId="13" fillId="0" borderId="246" xfId="0" applyFont="1" applyBorder="1">
      <alignment vertical="center"/>
    </xf>
    <xf numFmtId="56" fontId="22" fillId="0" borderId="233" xfId="0" quotePrefix="1" applyNumberFormat="1" applyFont="1" applyBorder="1" applyAlignment="1">
      <alignment horizontal="center" vertical="center"/>
    </xf>
    <xf numFmtId="0" fontId="22" fillId="0" borderId="234" xfId="0" quotePrefix="1" applyFont="1" applyBorder="1" applyAlignment="1">
      <alignment horizontal="center" vertical="center"/>
    </xf>
    <xf numFmtId="0" fontId="22" fillId="0" borderId="235" xfId="0" quotePrefix="1" applyFont="1" applyBorder="1" applyAlignment="1">
      <alignment horizontal="center" vertical="center"/>
    </xf>
    <xf numFmtId="0" fontId="22" fillId="0" borderId="236" xfId="0" quotePrefix="1" applyFont="1" applyBorder="1" applyAlignment="1">
      <alignment horizontal="center" vertical="center"/>
    </xf>
    <xf numFmtId="0" fontId="22" fillId="0" borderId="237" xfId="0" quotePrefix="1" applyFont="1" applyBorder="1" applyAlignment="1">
      <alignment horizontal="center" vertical="center"/>
    </xf>
    <xf numFmtId="0" fontId="22" fillId="0" borderId="233" xfId="0" quotePrefix="1" applyFont="1" applyBorder="1" applyAlignment="1">
      <alignment horizontal="center" vertical="center"/>
    </xf>
    <xf numFmtId="0" fontId="22" fillId="0" borderId="232" xfId="0" quotePrefix="1" applyFont="1" applyBorder="1" applyAlignment="1">
      <alignment horizontal="center" vertical="center"/>
    </xf>
    <xf numFmtId="49" fontId="3" fillId="2" borderId="0" xfId="0" applyNumberFormat="1" applyFont="1" applyFill="1" applyAlignment="1" applyProtection="1">
      <alignment horizontal="center" vertical="center"/>
      <protection locked="0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176" fontId="4" fillId="2" borderId="0" xfId="0" applyNumberFormat="1" applyFont="1" applyFill="1" applyAlignment="1">
      <alignment vertical="top"/>
    </xf>
    <xf numFmtId="176" fontId="4" fillId="2" borderId="1" xfId="0" applyNumberFormat="1" applyFont="1" applyFill="1" applyBorder="1" applyAlignment="1">
      <alignment vertical="top"/>
    </xf>
    <xf numFmtId="0" fontId="6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10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177" fontId="7" fillId="2" borderId="4" xfId="0" applyNumberFormat="1" applyFont="1" applyFill="1" applyBorder="1" applyAlignment="1">
      <alignment horizontal="center" vertical="center"/>
    </xf>
    <xf numFmtId="177" fontId="7" fillId="2" borderId="5" xfId="0" applyNumberFormat="1" applyFont="1" applyFill="1" applyBorder="1" applyAlignment="1">
      <alignment horizontal="center" vertical="center"/>
    </xf>
    <xf numFmtId="177" fontId="7" fillId="2" borderId="6" xfId="0" applyNumberFormat="1" applyFont="1" applyFill="1" applyBorder="1" applyAlignment="1">
      <alignment horizontal="center" vertical="center"/>
    </xf>
    <xf numFmtId="177" fontId="7" fillId="2" borderId="7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" fillId="2" borderId="27" xfId="0" applyFont="1" applyFill="1" applyBorder="1" applyAlignment="1">
      <alignment horizontal="center" vertical="center" textRotation="255"/>
    </xf>
    <xf numFmtId="0" fontId="1" fillId="2" borderId="38" xfId="0" applyFont="1" applyFill="1" applyBorder="1" applyAlignment="1">
      <alignment horizontal="center" vertical="center" textRotation="255"/>
    </xf>
    <xf numFmtId="0" fontId="1" fillId="2" borderId="45" xfId="0" applyFont="1" applyFill="1" applyBorder="1" applyAlignment="1">
      <alignment horizontal="center" vertical="center" textRotation="255"/>
    </xf>
    <xf numFmtId="177" fontId="7" fillId="0" borderId="6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5" fillId="0" borderId="0" xfId="0" quotePrefix="1" applyNumberFormat="1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17" fillId="2" borderId="5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 applyProtection="1">
      <alignment horizontal="center" vertical="center" wrapTex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0" fontId="18" fillId="2" borderId="7" xfId="0" applyFont="1" applyFill="1" applyBorder="1" applyAlignment="1" applyProtection="1">
      <alignment horizontal="center" vertical="center" wrapText="1"/>
      <protection locked="0"/>
    </xf>
    <xf numFmtId="0" fontId="17" fillId="2" borderId="5" xfId="0" applyFont="1" applyFill="1" applyBorder="1" applyAlignment="1" applyProtection="1">
      <alignment horizontal="center" vertical="center" wrapText="1"/>
      <protection locked="0"/>
    </xf>
    <xf numFmtId="0" fontId="17" fillId="2" borderId="6" xfId="0" applyFont="1" applyFill="1" applyBorder="1" applyAlignment="1" applyProtection="1">
      <alignment horizontal="center" vertical="center" wrapText="1"/>
      <protection locked="0"/>
    </xf>
    <xf numFmtId="0" fontId="17" fillId="2" borderId="7" xfId="0" applyFont="1" applyFill="1" applyBorder="1" applyAlignment="1" applyProtection="1">
      <alignment horizontal="center" vertical="center" wrapText="1"/>
      <protection locked="0"/>
    </xf>
    <xf numFmtId="0" fontId="17" fillId="0" borderId="5" xfId="0" applyFont="1" applyBorder="1" applyAlignment="1" applyProtection="1">
      <alignment horizontal="center" vertical="center" wrapText="1"/>
      <protection locked="0"/>
    </xf>
    <xf numFmtId="0" fontId="17" fillId="0" borderId="6" xfId="0" applyFont="1" applyBorder="1" applyAlignment="1" applyProtection="1">
      <alignment horizontal="center" vertical="center" wrapText="1"/>
      <protection locked="0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21" fillId="0" borderId="242" xfId="0" applyFont="1" applyBorder="1" applyAlignment="1">
      <alignment horizontal="center" vertical="center"/>
    </xf>
    <xf numFmtId="0" fontId="21" fillId="0" borderId="261" xfId="0" applyFont="1" applyBorder="1" applyAlignment="1">
      <alignment horizontal="center"/>
    </xf>
    <xf numFmtId="0" fontId="21" fillId="0" borderId="243" xfId="0" applyFont="1" applyBorder="1" applyAlignment="1">
      <alignment horizontal="center" vertical="center"/>
    </xf>
    <xf numFmtId="0" fontId="21" fillId="0" borderId="262" xfId="0" applyFont="1" applyBorder="1" applyAlignment="1">
      <alignment horizontal="center"/>
    </xf>
    <xf numFmtId="178" fontId="21" fillId="0" borderId="241" xfId="0" applyNumberFormat="1" applyFont="1" applyBorder="1" applyAlignment="1">
      <alignment horizontal="center" vertical="center"/>
    </xf>
    <xf numFmtId="0" fontId="21" fillId="0" borderId="260" xfId="0" applyFont="1" applyBorder="1" applyAlignment="1">
      <alignment horizontal="center"/>
    </xf>
  </cellXfs>
  <cellStyles count="1">
    <cellStyle name="標準" xfId="0" builtinId="0"/>
  </cellStyles>
  <dxfs count="28"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ill>
        <patternFill>
          <bgColor rgb="FFCC66FF"/>
        </patternFill>
      </fill>
    </dxf>
    <dxf>
      <fill>
        <patternFill>
          <bgColor rgb="FFCC66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CC66FF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63500</xdr:colOff>
      <xdr:row>4</xdr:row>
      <xdr:rowOff>63500</xdr:rowOff>
    </xdr:from>
    <xdr:to>
      <xdr:col>42</xdr:col>
      <xdr:colOff>265906</xdr:colOff>
      <xdr:row>5</xdr:row>
      <xdr:rowOff>101600</xdr:rowOff>
    </xdr:to>
    <xdr:sp macro="" textlink="">
      <xdr:nvSpPr>
        <xdr:cNvPr id="2" name="クリアボタン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CC8C851A-E356-48F3-AD31-F0C25094414A}"/>
            </a:ext>
          </a:extLst>
        </xdr:cNvPr>
        <xdr:cNvSpPr/>
      </xdr:nvSpPr>
      <xdr:spPr bwMode="auto">
        <a:xfrm>
          <a:off x="22247225" y="968375"/>
          <a:ext cx="1897856" cy="5048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39</xdr:col>
      <xdr:colOff>50800</xdr:colOff>
      <xdr:row>1</xdr:row>
      <xdr:rowOff>254000</xdr:rowOff>
    </xdr:from>
    <xdr:to>
      <xdr:col>42</xdr:col>
      <xdr:colOff>100806</xdr:colOff>
      <xdr:row>3</xdr:row>
      <xdr:rowOff>190500</xdr:rowOff>
    </xdr:to>
    <xdr:sp macro="" textlink="">
      <xdr:nvSpPr>
        <xdr:cNvPr id="3" name="週案シート作成ボタン" hidden="1">
          <a:extLst>
            <a:ext uri="{63B3BB69-23CF-44E3-9099-C40C66FF867C}">
              <a14:compatExt xmlns:a14="http://schemas.microsoft.com/office/drawing/2010/main" spid="_x0000_s1033"/>
            </a:ext>
            <a:ext uri="{FF2B5EF4-FFF2-40B4-BE49-F238E27FC236}">
              <a16:creationId xmlns:a16="http://schemas.microsoft.com/office/drawing/2014/main" id="{03772053-492D-4B37-9A8C-89DB17C02A6B}"/>
            </a:ext>
          </a:extLst>
        </xdr:cNvPr>
        <xdr:cNvSpPr/>
      </xdr:nvSpPr>
      <xdr:spPr bwMode="auto">
        <a:xfrm>
          <a:off x="22234525" y="377825"/>
          <a:ext cx="1745456" cy="488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39</xdr:col>
      <xdr:colOff>63500</xdr:colOff>
      <xdr:row>5</xdr:row>
      <xdr:rowOff>63500</xdr:rowOff>
    </xdr:from>
    <xdr:ext cx="1897856" cy="498475"/>
    <xdr:sp macro="" textlink="">
      <xdr:nvSpPr>
        <xdr:cNvPr id="4" name="クリアボタン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450A1AF6-B009-4933-9E84-6C0C1866C989}"/>
            </a:ext>
          </a:extLst>
        </xdr:cNvPr>
        <xdr:cNvSpPr/>
      </xdr:nvSpPr>
      <xdr:spPr bwMode="auto">
        <a:xfrm>
          <a:off x="23352125" y="968375"/>
          <a:ext cx="1897856" cy="4984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63500</xdr:colOff>
      <xdr:row>6</xdr:row>
      <xdr:rowOff>63500</xdr:rowOff>
    </xdr:from>
    <xdr:ext cx="1897856" cy="498475"/>
    <xdr:sp macro="" textlink="">
      <xdr:nvSpPr>
        <xdr:cNvPr id="5" name="クリアボタン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0D27C49D-0130-4959-A622-16F45803542B}"/>
            </a:ext>
          </a:extLst>
        </xdr:cNvPr>
        <xdr:cNvSpPr/>
      </xdr:nvSpPr>
      <xdr:spPr bwMode="auto">
        <a:xfrm>
          <a:off x="23352125" y="968375"/>
          <a:ext cx="1897856" cy="4984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63500</xdr:colOff>
      <xdr:row>7</xdr:row>
      <xdr:rowOff>63500</xdr:rowOff>
    </xdr:from>
    <xdr:ext cx="1897856" cy="498475"/>
    <xdr:sp macro="" textlink="">
      <xdr:nvSpPr>
        <xdr:cNvPr id="6" name="クリアボタン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1A294FDD-0A82-4AD3-BAD9-0D17EC051CA2}"/>
            </a:ext>
          </a:extLst>
        </xdr:cNvPr>
        <xdr:cNvSpPr/>
      </xdr:nvSpPr>
      <xdr:spPr bwMode="auto">
        <a:xfrm>
          <a:off x="23352125" y="968375"/>
          <a:ext cx="1897856" cy="4984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63500</xdr:colOff>
      <xdr:row>8</xdr:row>
      <xdr:rowOff>63500</xdr:rowOff>
    </xdr:from>
    <xdr:ext cx="1897856" cy="498475"/>
    <xdr:sp macro="" textlink="">
      <xdr:nvSpPr>
        <xdr:cNvPr id="7" name="クリアボタン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F84B6141-C8BF-46D0-9025-9BFDB541993E}"/>
            </a:ext>
          </a:extLst>
        </xdr:cNvPr>
        <xdr:cNvSpPr/>
      </xdr:nvSpPr>
      <xdr:spPr bwMode="auto">
        <a:xfrm>
          <a:off x="23352125" y="968375"/>
          <a:ext cx="1897856" cy="4984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63500</xdr:colOff>
      <xdr:row>9</xdr:row>
      <xdr:rowOff>63500</xdr:rowOff>
    </xdr:from>
    <xdr:ext cx="1897856" cy="498475"/>
    <xdr:sp macro="" textlink="">
      <xdr:nvSpPr>
        <xdr:cNvPr id="8" name="クリアボタン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CCEF98AD-03A1-47CF-A308-F32B61E8F01E}"/>
            </a:ext>
          </a:extLst>
        </xdr:cNvPr>
        <xdr:cNvSpPr/>
      </xdr:nvSpPr>
      <xdr:spPr bwMode="auto">
        <a:xfrm>
          <a:off x="23352125" y="968375"/>
          <a:ext cx="1897856" cy="4984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63500</xdr:colOff>
      <xdr:row>10</xdr:row>
      <xdr:rowOff>63500</xdr:rowOff>
    </xdr:from>
    <xdr:ext cx="1897856" cy="498475"/>
    <xdr:sp macro="" textlink="">
      <xdr:nvSpPr>
        <xdr:cNvPr id="9" name="クリアボタン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CE400B94-D767-43DD-96A0-069FB671348D}"/>
            </a:ext>
          </a:extLst>
        </xdr:cNvPr>
        <xdr:cNvSpPr/>
      </xdr:nvSpPr>
      <xdr:spPr bwMode="auto">
        <a:xfrm>
          <a:off x="23352125" y="968375"/>
          <a:ext cx="1897856" cy="4984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63500</xdr:colOff>
      <xdr:row>11</xdr:row>
      <xdr:rowOff>63500</xdr:rowOff>
    </xdr:from>
    <xdr:ext cx="1897856" cy="498475"/>
    <xdr:sp macro="" textlink="">
      <xdr:nvSpPr>
        <xdr:cNvPr id="10" name="クリアボタン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209524F7-F63D-46D6-8BA9-3184CD96673E}"/>
            </a:ext>
          </a:extLst>
        </xdr:cNvPr>
        <xdr:cNvSpPr/>
      </xdr:nvSpPr>
      <xdr:spPr bwMode="auto">
        <a:xfrm>
          <a:off x="23352125" y="968375"/>
          <a:ext cx="1897856" cy="4984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63500</xdr:colOff>
      <xdr:row>12</xdr:row>
      <xdr:rowOff>63500</xdr:rowOff>
    </xdr:from>
    <xdr:ext cx="1897856" cy="498475"/>
    <xdr:sp macro="" textlink="">
      <xdr:nvSpPr>
        <xdr:cNvPr id="11" name="クリアボタン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FC4A00D5-5239-4AE1-90A9-15D53FBFC412}"/>
            </a:ext>
          </a:extLst>
        </xdr:cNvPr>
        <xdr:cNvSpPr/>
      </xdr:nvSpPr>
      <xdr:spPr bwMode="auto">
        <a:xfrm>
          <a:off x="23352125" y="968375"/>
          <a:ext cx="1897856" cy="4984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63500</xdr:colOff>
      <xdr:row>13</xdr:row>
      <xdr:rowOff>63500</xdr:rowOff>
    </xdr:from>
    <xdr:ext cx="1897856" cy="498475"/>
    <xdr:sp macro="" textlink="">
      <xdr:nvSpPr>
        <xdr:cNvPr id="12" name="クリアボタン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1B3BE6CE-EF3E-4F7B-8980-5A3783E1D3C1}"/>
            </a:ext>
          </a:extLst>
        </xdr:cNvPr>
        <xdr:cNvSpPr/>
      </xdr:nvSpPr>
      <xdr:spPr bwMode="auto">
        <a:xfrm>
          <a:off x="23352125" y="968375"/>
          <a:ext cx="1897856" cy="4984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63500</xdr:colOff>
      <xdr:row>14</xdr:row>
      <xdr:rowOff>63500</xdr:rowOff>
    </xdr:from>
    <xdr:ext cx="1897856" cy="498475"/>
    <xdr:sp macro="" textlink="">
      <xdr:nvSpPr>
        <xdr:cNvPr id="13" name="クリアボタン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5CBEEE10-0973-4A37-BE01-446E076C1DFC}"/>
            </a:ext>
          </a:extLst>
        </xdr:cNvPr>
        <xdr:cNvSpPr/>
      </xdr:nvSpPr>
      <xdr:spPr bwMode="auto">
        <a:xfrm>
          <a:off x="23352125" y="968375"/>
          <a:ext cx="1897856" cy="4984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63500</xdr:colOff>
      <xdr:row>15</xdr:row>
      <xdr:rowOff>63500</xdr:rowOff>
    </xdr:from>
    <xdr:ext cx="1897856" cy="498475"/>
    <xdr:sp macro="" textlink="">
      <xdr:nvSpPr>
        <xdr:cNvPr id="14" name="クリアボタン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D7C9A804-6064-4CE8-A6C9-E01CFEBDEFE8}"/>
            </a:ext>
          </a:extLst>
        </xdr:cNvPr>
        <xdr:cNvSpPr/>
      </xdr:nvSpPr>
      <xdr:spPr bwMode="auto">
        <a:xfrm>
          <a:off x="23352125" y="968375"/>
          <a:ext cx="1897856" cy="4984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63500</xdr:colOff>
      <xdr:row>16</xdr:row>
      <xdr:rowOff>63500</xdr:rowOff>
    </xdr:from>
    <xdr:ext cx="1897856" cy="498475"/>
    <xdr:sp macro="" textlink="">
      <xdr:nvSpPr>
        <xdr:cNvPr id="15" name="クリアボタン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7AA0A3B1-589E-43AD-B64A-8662C6D3AE58}"/>
            </a:ext>
          </a:extLst>
        </xdr:cNvPr>
        <xdr:cNvSpPr/>
      </xdr:nvSpPr>
      <xdr:spPr bwMode="auto">
        <a:xfrm>
          <a:off x="23352125" y="968375"/>
          <a:ext cx="1897856" cy="4984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63500</xdr:colOff>
      <xdr:row>17</xdr:row>
      <xdr:rowOff>63500</xdr:rowOff>
    </xdr:from>
    <xdr:ext cx="1897856" cy="498475"/>
    <xdr:sp macro="" textlink="">
      <xdr:nvSpPr>
        <xdr:cNvPr id="16" name="クリアボタン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965E80C3-BE04-47E6-BA31-0A6E7233B644}"/>
            </a:ext>
          </a:extLst>
        </xdr:cNvPr>
        <xdr:cNvSpPr/>
      </xdr:nvSpPr>
      <xdr:spPr bwMode="auto">
        <a:xfrm>
          <a:off x="23352125" y="968375"/>
          <a:ext cx="1897856" cy="4984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63500</xdr:colOff>
      <xdr:row>18</xdr:row>
      <xdr:rowOff>63500</xdr:rowOff>
    </xdr:from>
    <xdr:ext cx="1897856" cy="498475"/>
    <xdr:sp macro="" textlink="">
      <xdr:nvSpPr>
        <xdr:cNvPr id="17" name="クリアボタン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A94ABABE-A9A0-4B3E-8F4A-C90344C75429}"/>
            </a:ext>
          </a:extLst>
        </xdr:cNvPr>
        <xdr:cNvSpPr/>
      </xdr:nvSpPr>
      <xdr:spPr bwMode="auto">
        <a:xfrm>
          <a:off x="23352125" y="968375"/>
          <a:ext cx="1897856" cy="4984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9CA0-51E6-44E4-A31C-52C03349E424}">
  <sheetPr codeName="Sheet1">
    <tabColor theme="1"/>
    <pageSetUpPr fitToPage="1"/>
  </sheetPr>
  <dimension ref="A1:CL333"/>
  <sheetViews>
    <sheetView tabSelected="1" view="pageBreakPreview" zoomScale="50" zoomScaleNormal="50" zoomScaleSheetLayoutView="50" workbookViewId="0">
      <selection activeCell="A2" sqref="A2:D2"/>
    </sheetView>
  </sheetViews>
  <sheetFormatPr defaultColWidth="8.625" defaultRowHeight="13.5" outlineLevelRow="1" outlineLevelCol="1" x14ac:dyDescent="0.15"/>
  <cols>
    <col min="1" max="1" width="2.625" customWidth="1"/>
    <col min="2" max="2" width="4.625" customWidth="1"/>
    <col min="3" max="3" width="7.625" customWidth="1"/>
    <col min="4" max="4" width="3.625" customWidth="1"/>
    <col min="5" max="20" width="8.625" customWidth="1"/>
    <col min="21" max="21" width="8.625" customWidth="1" outlineLevel="1"/>
    <col min="22" max="33" width="8.625" customWidth="1"/>
    <col min="34" max="37" width="8.625" hidden="1" customWidth="1" outlineLevel="1"/>
    <col min="38" max="38" width="1.625" customWidth="1" collapsed="1"/>
    <col min="39" max="39" width="3.625" customWidth="1"/>
    <col min="40" max="55" width="7.5" customWidth="1"/>
    <col min="56" max="58" width="8.625" style="1"/>
    <col min="59" max="60" width="8.625" customWidth="1"/>
    <col min="61" max="61" width="13" bestFit="1" customWidth="1"/>
    <col min="62" max="90" width="8.625" style="1"/>
  </cols>
  <sheetData>
    <row r="1" spans="1:90" ht="9.75" customHeight="1" x14ac:dyDescent="0.15">
      <c r="A1" s="434"/>
      <c r="B1" s="434"/>
      <c r="C1" s="434"/>
      <c r="D1" s="434"/>
      <c r="E1" s="435" t="str">
        <f>_xlfn.CONCAT("【週案",AN1,"】　",TEXT(AO1,"[$-ja-JP]ge.m.d")," ～ ",TEXT(AP1,"[$-ja-JP]ge.m.d"))</f>
        <v>【週案】　M33.1.0 ～ M33.1.0</v>
      </c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7" t="s">
        <v>0</v>
      </c>
      <c r="Z1" s="417">
        <v>1</v>
      </c>
      <c r="AA1" s="439" t="s">
        <v>1</v>
      </c>
      <c r="AB1" s="417" t="s">
        <v>2</v>
      </c>
      <c r="AC1" s="417"/>
      <c r="AD1" s="417"/>
      <c r="AE1" s="417"/>
      <c r="AF1" s="419">
        <f ca="1">NOW()</f>
        <v>46191.0062755787</v>
      </c>
      <c r="AG1" s="419"/>
      <c r="AH1" s="376"/>
      <c r="AI1" s="376"/>
      <c r="AJ1" s="376"/>
      <c r="AK1" s="376"/>
      <c r="AL1" s="376"/>
    </row>
    <row r="2" spans="1:90" ht="25.35" customHeight="1" thickBot="1" x14ac:dyDescent="0.2">
      <c r="A2" s="421"/>
      <c r="B2" s="421"/>
      <c r="C2" s="421"/>
      <c r="D2" s="421"/>
      <c r="E2" s="436"/>
      <c r="F2" s="436"/>
      <c r="G2" s="436"/>
      <c r="H2" s="436"/>
      <c r="I2" s="436"/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8"/>
      <c r="Z2" s="418"/>
      <c r="AA2" s="440"/>
      <c r="AB2" s="418"/>
      <c r="AC2" s="418"/>
      <c r="AD2" s="418"/>
      <c r="AE2" s="418"/>
      <c r="AF2" s="420"/>
      <c r="AG2" s="420"/>
      <c r="AH2" s="376"/>
      <c r="AI2" s="376"/>
      <c r="AJ2" s="376"/>
      <c r="AK2" s="376"/>
      <c r="AL2" s="376"/>
    </row>
    <row r="3" spans="1:90" s="2" customFormat="1" ht="18.75" customHeight="1" thickTop="1" thickBot="1" x14ac:dyDescent="0.2">
      <c r="A3" s="422"/>
      <c r="B3" s="423"/>
      <c r="C3" s="426"/>
      <c r="D3" s="427"/>
      <c r="E3" s="430" t="str">
        <f>TEXT(AO1,"m月d日（aaa）")</f>
        <v>1月0日(土)</v>
      </c>
      <c r="F3" s="430"/>
      <c r="G3" s="430"/>
      <c r="H3" s="430"/>
      <c r="I3" s="430"/>
      <c r="J3" s="430"/>
      <c r="K3" s="431" t="str">
        <f>TEXT(AO1+1,"m月d日（aaa）")</f>
        <v>1月1日(日)</v>
      </c>
      <c r="L3" s="432"/>
      <c r="M3" s="432"/>
      <c r="N3" s="432"/>
      <c r="O3" s="432"/>
      <c r="P3" s="433"/>
      <c r="Q3" s="431" t="str">
        <f>TEXT(AO1+2,"m月d日（aaa）")</f>
        <v>1月2日(月)</v>
      </c>
      <c r="R3" s="432"/>
      <c r="S3" s="432"/>
      <c r="T3" s="432"/>
      <c r="U3" s="433"/>
      <c r="V3" s="431" t="str">
        <f>TEXT(AO1+3,"m月d日（aaa）")</f>
        <v>1月3日(火)</v>
      </c>
      <c r="W3" s="432"/>
      <c r="X3" s="432"/>
      <c r="Y3" s="432"/>
      <c r="Z3" s="432"/>
      <c r="AA3" s="432"/>
      <c r="AB3" s="431" t="str">
        <f>TEXT(AO1+4,"m月d日（aaa）")</f>
        <v>1月4日(水)</v>
      </c>
      <c r="AC3" s="432"/>
      <c r="AD3" s="432"/>
      <c r="AE3" s="432"/>
      <c r="AF3" s="432"/>
      <c r="AG3" s="433"/>
      <c r="AH3" s="444" t="str">
        <f>TEXT(AO1+5,"m月d日（aaa）")</f>
        <v>1月5日(木)</v>
      </c>
      <c r="AI3" s="444"/>
      <c r="AJ3" s="444"/>
      <c r="AK3" s="445"/>
      <c r="AN3" s="466" t="s">
        <v>39</v>
      </c>
      <c r="AO3" s="462" t="s">
        <v>40</v>
      </c>
      <c r="AP3" s="462" t="s">
        <v>41</v>
      </c>
      <c r="AQ3" s="462" t="s">
        <v>42</v>
      </c>
      <c r="AR3" s="462" t="s">
        <v>43</v>
      </c>
      <c r="AS3" s="462" t="s">
        <v>44</v>
      </c>
      <c r="AT3" s="462" t="s">
        <v>45</v>
      </c>
      <c r="AU3" s="462" t="s">
        <v>46</v>
      </c>
      <c r="AV3" s="464" t="s">
        <v>47</v>
      </c>
      <c r="BD3" s="4"/>
      <c r="BE3" s="4"/>
      <c r="BF3" s="4"/>
      <c r="BG3" s="3"/>
      <c r="BH3" s="3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</row>
    <row r="4" spans="1:90" ht="18" customHeight="1" thickBot="1" x14ac:dyDescent="0.2">
      <c r="A4" s="424"/>
      <c r="B4" s="425"/>
      <c r="C4" s="428"/>
      <c r="D4" s="429"/>
      <c r="E4" s="5">
        <v>1</v>
      </c>
      <c r="F4" s="6">
        <v>2</v>
      </c>
      <c r="G4" s="6">
        <v>3</v>
      </c>
      <c r="H4" s="6">
        <v>4</v>
      </c>
      <c r="I4" s="6">
        <v>5</v>
      </c>
      <c r="J4" s="7">
        <v>6</v>
      </c>
      <c r="K4" s="8">
        <v>1</v>
      </c>
      <c r="L4" s="9">
        <v>2</v>
      </c>
      <c r="M4" s="9">
        <v>3</v>
      </c>
      <c r="N4" s="9">
        <v>4</v>
      </c>
      <c r="O4" s="10">
        <v>5</v>
      </c>
      <c r="P4" s="11">
        <v>6</v>
      </c>
      <c r="Q4" s="12">
        <v>1</v>
      </c>
      <c r="R4" s="13">
        <v>2</v>
      </c>
      <c r="S4" s="13">
        <v>3</v>
      </c>
      <c r="T4" s="14">
        <v>4</v>
      </c>
      <c r="U4" s="15">
        <v>5</v>
      </c>
      <c r="V4" s="12">
        <v>1</v>
      </c>
      <c r="W4" s="13">
        <v>2</v>
      </c>
      <c r="X4" s="13">
        <v>3</v>
      </c>
      <c r="Y4" s="13">
        <v>4</v>
      </c>
      <c r="Z4" s="14">
        <v>5</v>
      </c>
      <c r="AA4" s="14">
        <v>6</v>
      </c>
      <c r="AB4" s="16">
        <v>1</v>
      </c>
      <c r="AC4" s="17">
        <v>2</v>
      </c>
      <c r="AD4" s="17">
        <v>3</v>
      </c>
      <c r="AE4" s="17">
        <v>4</v>
      </c>
      <c r="AF4" s="17">
        <v>5</v>
      </c>
      <c r="AG4" s="18">
        <v>6</v>
      </c>
      <c r="AH4" s="19">
        <v>1</v>
      </c>
      <c r="AI4" s="20">
        <v>2</v>
      </c>
      <c r="AJ4" s="20">
        <v>3</v>
      </c>
      <c r="AK4" s="21">
        <v>4</v>
      </c>
      <c r="AN4" s="467"/>
      <c r="AO4" s="463"/>
      <c r="AP4" s="463"/>
      <c r="AQ4" s="463"/>
      <c r="AR4" s="463"/>
      <c r="AS4" s="463"/>
      <c r="AT4" s="463"/>
      <c r="AU4" s="463"/>
      <c r="AV4" s="465"/>
    </row>
    <row r="5" spans="1:90" ht="37.35" customHeight="1" x14ac:dyDescent="0.15">
      <c r="A5" s="441" t="s">
        <v>3</v>
      </c>
      <c r="B5" s="22" t="s">
        <v>4</v>
      </c>
      <c r="C5" s="51">
        <f>C21</f>
        <v>0</v>
      </c>
      <c r="D5" s="40">
        <f>D21</f>
        <v>0</v>
      </c>
      <c r="E5" s="248"/>
      <c r="F5" s="23"/>
      <c r="G5" s="23"/>
      <c r="H5" s="23"/>
      <c r="I5" s="23"/>
      <c r="J5" s="24"/>
      <c r="K5" s="249"/>
      <c r="L5" s="25"/>
      <c r="M5" s="25"/>
      <c r="N5" s="25"/>
      <c r="O5" s="25"/>
      <c r="P5" s="26"/>
      <c r="Q5" s="249"/>
      <c r="R5" s="25"/>
      <c r="S5" s="25"/>
      <c r="T5" s="250"/>
      <c r="U5" s="250"/>
      <c r="V5" s="249"/>
      <c r="W5" s="251"/>
      <c r="X5" s="25"/>
      <c r="Y5" s="25"/>
      <c r="Z5" s="252"/>
      <c r="AA5" s="253"/>
      <c r="AB5" s="43"/>
      <c r="AC5" s="23"/>
      <c r="AD5" s="23" t="s">
        <v>38</v>
      </c>
      <c r="AE5" s="23" t="s">
        <v>38</v>
      </c>
      <c r="AF5" s="23" t="s">
        <v>38</v>
      </c>
      <c r="AG5" s="26" t="s">
        <v>38</v>
      </c>
      <c r="AH5" s="27" t="s">
        <v>38</v>
      </c>
      <c r="AI5" s="28" t="s">
        <v>38</v>
      </c>
      <c r="AJ5" s="28" t="s">
        <v>38</v>
      </c>
      <c r="AK5" s="29" t="s">
        <v>38</v>
      </c>
      <c r="AN5" s="389">
        <f t="shared" ref="AN5:AU19" si="0">COUNTIF($E5:$AK5,AN$3)</f>
        <v>0</v>
      </c>
      <c r="AO5" s="393">
        <f t="shared" si="0"/>
        <v>0</v>
      </c>
      <c r="AP5" s="393">
        <f t="shared" si="0"/>
        <v>0</v>
      </c>
      <c r="AQ5" s="393">
        <f t="shared" si="0"/>
        <v>0</v>
      </c>
      <c r="AR5" s="393">
        <f t="shared" si="0"/>
        <v>0</v>
      </c>
      <c r="AS5" s="393">
        <f t="shared" si="0"/>
        <v>0</v>
      </c>
      <c r="AT5" s="393">
        <f t="shared" si="0"/>
        <v>0</v>
      </c>
      <c r="AU5" s="393">
        <f t="shared" si="0"/>
        <v>0</v>
      </c>
      <c r="AV5" s="394">
        <f t="shared" ref="AV5:AV19" si="1">COUNTIF($E5:$AK5,AV$3)+COUNTIF($E5:$AK5,"技術")+COUNTIF($E5:$AK5,"家庭")</f>
        <v>0</v>
      </c>
    </row>
    <row r="6" spans="1:90" ht="37.35" customHeight="1" x14ac:dyDescent="0.15">
      <c r="A6" s="442"/>
      <c r="B6" s="30" t="s">
        <v>5</v>
      </c>
      <c r="C6" s="254">
        <f t="shared" ref="C6:D9" si="2">C22</f>
        <v>0</v>
      </c>
      <c r="D6" s="196">
        <f t="shared" si="2"/>
        <v>0</v>
      </c>
      <c r="E6" s="255"/>
      <c r="F6" s="256"/>
      <c r="G6" s="256"/>
      <c r="H6" s="256"/>
      <c r="I6" s="256"/>
      <c r="J6" s="257"/>
      <c r="K6" s="258"/>
      <c r="L6" s="259"/>
      <c r="M6" s="259"/>
      <c r="N6" s="259"/>
      <c r="O6" s="259"/>
      <c r="P6" s="260"/>
      <c r="Q6" s="258"/>
      <c r="R6" s="259"/>
      <c r="S6" s="259"/>
      <c r="T6" s="261"/>
      <c r="U6" s="261"/>
      <c r="V6" s="258"/>
      <c r="W6" s="262"/>
      <c r="X6" s="259"/>
      <c r="Y6" s="259"/>
      <c r="Z6" s="263"/>
      <c r="AA6" s="264"/>
      <c r="AB6" s="265"/>
      <c r="AC6" s="256"/>
      <c r="AD6" s="256" t="s">
        <v>38</v>
      </c>
      <c r="AE6" s="256" t="s">
        <v>38</v>
      </c>
      <c r="AF6" s="256" t="s">
        <v>38</v>
      </c>
      <c r="AG6" s="260" t="s">
        <v>38</v>
      </c>
      <c r="AH6" s="27" t="s">
        <v>38</v>
      </c>
      <c r="AI6" s="28" t="s">
        <v>38</v>
      </c>
      <c r="AJ6" s="28" t="s">
        <v>38</v>
      </c>
      <c r="AK6" s="31" t="s">
        <v>38</v>
      </c>
      <c r="AN6" s="395">
        <f t="shared" si="0"/>
        <v>0</v>
      </c>
      <c r="AO6" s="396">
        <f t="shared" si="0"/>
        <v>0</v>
      </c>
      <c r="AP6" s="396">
        <f t="shared" si="0"/>
        <v>0</v>
      </c>
      <c r="AQ6" s="396">
        <f t="shared" si="0"/>
        <v>0</v>
      </c>
      <c r="AR6" s="396">
        <f t="shared" si="0"/>
        <v>0</v>
      </c>
      <c r="AS6" s="396">
        <f t="shared" si="0"/>
        <v>0</v>
      </c>
      <c r="AT6" s="396">
        <f t="shared" si="0"/>
        <v>0</v>
      </c>
      <c r="AU6" s="396">
        <f t="shared" si="0"/>
        <v>0</v>
      </c>
      <c r="AV6" s="397">
        <f t="shared" si="1"/>
        <v>0</v>
      </c>
    </row>
    <row r="7" spans="1:90" ht="37.35" customHeight="1" x14ac:dyDescent="0.15">
      <c r="A7" s="442"/>
      <c r="B7" s="30" t="s">
        <v>6</v>
      </c>
      <c r="C7" s="254">
        <f t="shared" si="2"/>
        <v>0</v>
      </c>
      <c r="D7" s="196">
        <f t="shared" si="2"/>
        <v>0</v>
      </c>
      <c r="E7" s="255"/>
      <c r="F7" s="256"/>
      <c r="G7" s="256"/>
      <c r="H7" s="256"/>
      <c r="I7" s="256"/>
      <c r="J7" s="257"/>
      <c r="K7" s="258"/>
      <c r="L7" s="259"/>
      <c r="M7" s="259"/>
      <c r="N7" s="259"/>
      <c r="O7" s="259"/>
      <c r="P7" s="260"/>
      <c r="Q7" s="258"/>
      <c r="R7" s="259"/>
      <c r="S7" s="259"/>
      <c r="T7" s="261"/>
      <c r="U7" s="261"/>
      <c r="V7" s="258"/>
      <c r="W7" s="262"/>
      <c r="X7" s="259"/>
      <c r="Y7" s="259"/>
      <c r="Z7" s="263"/>
      <c r="AA7" s="264"/>
      <c r="AB7" s="265"/>
      <c r="AC7" s="256"/>
      <c r="AD7" s="256" t="s">
        <v>38</v>
      </c>
      <c r="AE7" s="256" t="s">
        <v>38</v>
      </c>
      <c r="AF7" s="256" t="s">
        <v>38</v>
      </c>
      <c r="AG7" s="260" t="s">
        <v>38</v>
      </c>
      <c r="AH7" s="27" t="s">
        <v>38</v>
      </c>
      <c r="AI7" s="28" t="s">
        <v>38</v>
      </c>
      <c r="AJ7" s="28" t="s">
        <v>38</v>
      </c>
      <c r="AK7" s="31" t="s">
        <v>38</v>
      </c>
      <c r="AN7" s="395">
        <f t="shared" si="0"/>
        <v>0</v>
      </c>
      <c r="AO7" s="396">
        <f t="shared" si="0"/>
        <v>0</v>
      </c>
      <c r="AP7" s="396">
        <f t="shared" si="0"/>
        <v>0</v>
      </c>
      <c r="AQ7" s="396">
        <f t="shared" si="0"/>
        <v>0</v>
      </c>
      <c r="AR7" s="396">
        <f t="shared" si="0"/>
        <v>0</v>
      </c>
      <c r="AS7" s="396">
        <f t="shared" si="0"/>
        <v>0</v>
      </c>
      <c r="AT7" s="396">
        <f t="shared" si="0"/>
        <v>0</v>
      </c>
      <c r="AU7" s="396">
        <f t="shared" si="0"/>
        <v>0</v>
      </c>
      <c r="AV7" s="397">
        <f t="shared" si="1"/>
        <v>0</v>
      </c>
    </row>
    <row r="8" spans="1:90" ht="36.75" customHeight="1" x14ac:dyDescent="0.15">
      <c r="A8" s="442"/>
      <c r="B8" s="30" t="s">
        <v>7</v>
      </c>
      <c r="C8" s="254">
        <f t="shared" si="2"/>
        <v>0</v>
      </c>
      <c r="D8" s="196">
        <f t="shared" si="2"/>
        <v>0</v>
      </c>
      <c r="E8" s="266"/>
      <c r="F8" s="267"/>
      <c r="G8" s="267"/>
      <c r="H8" s="267"/>
      <c r="I8" s="267"/>
      <c r="J8" s="268"/>
      <c r="K8" s="269"/>
      <c r="L8" s="270"/>
      <c r="M8" s="270"/>
      <c r="N8" s="270"/>
      <c r="O8" s="270"/>
      <c r="P8" s="271"/>
      <c r="Q8" s="269"/>
      <c r="R8" s="270"/>
      <c r="S8" s="270"/>
      <c r="T8" s="272"/>
      <c r="U8" s="272"/>
      <c r="V8" s="269"/>
      <c r="W8" s="273"/>
      <c r="X8" s="270"/>
      <c r="Y8" s="270"/>
      <c r="Z8" s="274"/>
      <c r="AA8" s="275"/>
      <c r="AB8" s="276"/>
      <c r="AC8" s="267"/>
      <c r="AD8" s="267" t="s">
        <v>38</v>
      </c>
      <c r="AE8" s="267" t="s">
        <v>38</v>
      </c>
      <c r="AF8" s="267" t="s">
        <v>38</v>
      </c>
      <c r="AG8" s="277" t="s">
        <v>38</v>
      </c>
      <c r="AH8" s="32" t="s">
        <v>38</v>
      </c>
      <c r="AI8" s="33" t="s">
        <v>38</v>
      </c>
      <c r="AJ8" s="33" t="s">
        <v>38</v>
      </c>
      <c r="AK8" s="34" t="s">
        <v>38</v>
      </c>
      <c r="AN8" s="395">
        <f t="shared" si="0"/>
        <v>0</v>
      </c>
      <c r="AO8" s="396">
        <f t="shared" si="0"/>
        <v>0</v>
      </c>
      <c r="AP8" s="396">
        <f t="shared" si="0"/>
        <v>0</v>
      </c>
      <c r="AQ8" s="396">
        <f t="shared" si="0"/>
        <v>0</v>
      </c>
      <c r="AR8" s="396">
        <f t="shared" si="0"/>
        <v>0</v>
      </c>
      <c r="AS8" s="396">
        <f t="shared" si="0"/>
        <v>0</v>
      </c>
      <c r="AT8" s="396">
        <f t="shared" si="0"/>
        <v>0</v>
      </c>
      <c r="AU8" s="396">
        <f t="shared" si="0"/>
        <v>0</v>
      </c>
      <c r="AV8" s="397">
        <f t="shared" si="1"/>
        <v>0</v>
      </c>
    </row>
    <row r="9" spans="1:90" ht="37.35" customHeight="1" thickBot="1" x14ac:dyDescent="0.2">
      <c r="A9" s="443"/>
      <c r="B9" s="35" t="s">
        <v>8</v>
      </c>
      <c r="C9" s="278">
        <f t="shared" si="2"/>
        <v>0</v>
      </c>
      <c r="D9" s="279">
        <f t="shared" si="2"/>
        <v>0</v>
      </c>
      <c r="E9" s="280"/>
      <c r="F9" s="281"/>
      <c r="G9" s="281"/>
      <c r="H9" s="281"/>
      <c r="I9" s="281"/>
      <c r="J9" s="282"/>
      <c r="K9" s="283"/>
      <c r="L9" s="284"/>
      <c r="M9" s="284"/>
      <c r="N9" s="284"/>
      <c r="O9" s="284"/>
      <c r="P9" s="285"/>
      <c r="Q9" s="283"/>
      <c r="R9" s="284"/>
      <c r="S9" s="284"/>
      <c r="T9" s="286"/>
      <c r="U9" s="286"/>
      <c r="V9" s="283"/>
      <c r="W9" s="287"/>
      <c r="X9" s="284"/>
      <c r="Y9" s="284"/>
      <c r="Z9" s="288"/>
      <c r="AA9" s="289"/>
      <c r="AB9" s="290"/>
      <c r="AC9" s="291"/>
      <c r="AD9" s="291" t="s">
        <v>38</v>
      </c>
      <c r="AE9" s="291" t="s">
        <v>38</v>
      </c>
      <c r="AF9" s="291" t="s">
        <v>38</v>
      </c>
      <c r="AG9" s="292" t="s">
        <v>38</v>
      </c>
      <c r="AH9" s="36" t="s">
        <v>38</v>
      </c>
      <c r="AI9" s="37" t="s">
        <v>38</v>
      </c>
      <c r="AJ9" s="37" t="s">
        <v>38</v>
      </c>
      <c r="AK9" s="38" t="s">
        <v>38</v>
      </c>
      <c r="AN9" s="398">
        <f t="shared" si="0"/>
        <v>0</v>
      </c>
      <c r="AO9" s="399">
        <f t="shared" si="0"/>
        <v>0</v>
      </c>
      <c r="AP9" s="399">
        <f t="shared" si="0"/>
        <v>0</v>
      </c>
      <c r="AQ9" s="399">
        <f t="shared" si="0"/>
        <v>0</v>
      </c>
      <c r="AR9" s="399">
        <f t="shared" si="0"/>
        <v>0</v>
      </c>
      <c r="AS9" s="399">
        <f t="shared" si="0"/>
        <v>0</v>
      </c>
      <c r="AT9" s="399">
        <f t="shared" si="0"/>
        <v>0</v>
      </c>
      <c r="AU9" s="399">
        <f t="shared" si="0"/>
        <v>0</v>
      </c>
      <c r="AV9" s="400">
        <f t="shared" si="1"/>
        <v>0</v>
      </c>
    </row>
    <row r="10" spans="1:90" ht="37.35" customHeight="1" x14ac:dyDescent="0.15">
      <c r="A10" s="441" t="s">
        <v>9</v>
      </c>
      <c r="B10" s="22" t="s">
        <v>4</v>
      </c>
      <c r="C10" s="39">
        <f>C31</f>
        <v>0</v>
      </c>
      <c r="D10" s="40">
        <f>D31</f>
        <v>0</v>
      </c>
      <c r="E10" s="293"/>
      <c r="F10" s="293"/>
      <c r="G10" s="293"/>
      <c r="H10" s="293"/>
      <c r="I10" s="293"/>
      <c r="J10" s="42"/>
      <c r="K10" s="294"/>
      <c r="L10" s="41"/>
      <c r="M10" s="41"/>
      <c r="N10" s="41"/>
      <c r="O10" s="41"/>
      <c r="P10" s="295"/>
      <c r="Q10" s="41"/>
      <c r="R10" s="41"/>
      <c r="S10" s="41"/>
      <c r="T10" s="41"/>
      <c r="U10" s="42"/>
      <c r="V10" s="294"/>
      <c r="W10" s="41"/>
      <c r="X10" s="41"/>
      <c r="Y10" s="41"/>
      <c r="Z10" s="41"/>
      <c r="AA10" s="42"/>
      <c r="AB10" s="294"/>
      <c r="AC10" s="41"/>
      <c r="AD10" s="41" t="s">
        <v>38</v>
      </c>
      <c r="AE10" s="41" t="s">
        <v>38</v>
      </c>
      <c r="AF10" s="41" t="s">
        <v>38</v>
      </c>
      <c r="AG10" s="44" t="s">
        <v>38</v>
      </c>
      <c r="AH10" s="45" t="s">
        <v>38</v>
      </c>
      <c r="AI10" s="45" t="s">
        <v>38</v>
      </c>
      <c r="AJ10" s="45" t="s">
        <v>38</v>
      </c>
      <c r="AK10" s="46" t="s">
        <v>38</v>
      </c>
      <c r="AL10" s="47"/>
      <c r="AN10" s="401">
        <f t="shared" si="0"/>
        <v>0</v>
      </c>
      <c r="AO10" s="402">
        <f t="shared" si="0"/>
        <v>0</v>
      </c>
      <c r="AP10" s="402">
        <f t="shared" si="0"/>
        <v>0</v>
      </c>
      <c r="AQ10" s="402">
        <f t="shared" si="0"/>
        <v>0</v>
      </c>
      <c r="AR10" s="402">
        <f t="shared" si="0"/>
        <v>0</v>
      </c>
      <c r="AS10" s="402">
        <f t="shared" si="0"/>
        <v>0</v>
      </c>
      <c r="AT10" s="402">
        <f t="shared" si="0"/>
        <v>0</v>
      </c>
      <c r="AU10" s="402">
        <f t="shared" si="0"/>
        <v>0</v>
      </c>
      <c r="AV10" s="403">
        <f t="shared" si="1"/>
        <v>0</v>
      </c>
    </row>
    <row r="11" spans="1:90" ht="37.35" customHeight="1" x14ac:dyDescent="0.15">
      <c r="A11" s="442"/>
      <c r="B11" s="30" t="s">
        <v>5</v>
      </c>
      <c r="C11" s="296">
        <f t="shared" ref="C11:D14" si="3">C32</f>
        <v>0</v>
      </c>
      <c r="D11" s="188">
        <f t="shared" si="3"/>
        <v>0</v>
      </c>
      <c r="E11" s="266"/>
      <c r="F11" s="266"/>
      <c r="G11" s="266"/>
      <c r="H11" s="266"/>
      <c r="I11" s="266"/>
      <c r="J11" s="297"/>
      <c r="K11" s="276"/>
      <c r="L11" s="266"/>
      <c r="M11" s="266"/>
      <c r="N11" s="266"/>
      <c r="O11" s="266"/>
      <c r="P11" s="298"/>
      <c r="Q11" s="266"/>
      <c r="R11" s="266"/>
      <c r="S11" s="266"/>
      <c r="T11" s="266"/>
      <c r="U11" s="297"/>
      <c r="V11" s="276"/>
      <c r="W11" s="266"/>
      <c r="X11" s="266"/>
      <c r="Y11" s="266"/>
      <c r="Z11" s="266"/>
      <c r="AA11" s="297"/>
      <c r="AB11" s="276"/>
      <c r="AC11" s="266"/>
      <c r="AD11" s="266" t="s">
        <v>38</v>
      </c>
      <c r="AE11" s="266" t="s">
        <v>38</v>
      </c>
      <c r="AF11" s="266" t="s">
        <v>38</v>
      </c>
      <c r="AG11" s="299" t="s">
        <v>38</v>
      </c>
      <c r="AH11" s="32" t="s">
        <v>38</v>
      </c>
      <c r="AI11" s="32" t="s">
        <v>38</v>
      </c>
      <c r="AJ11" s="32" t="s">
        <v>38</v>
      </c>
      <c r="AK11" s="48" t="s">
        <v>38</v>
      </c>
      <c r="AL11" s="47"/>
      <c r="AN11" s="395">
        <f t="shared" si="0"/>
        <v>0</v>
      </c>
      <c r="AO11" s="396">
        <f t="shared" si="0"/>
        <v>0</v>
      </c>
      <c r="AP11" s="396">
        <f t="shared" si="0"/>
        <v>0</v>
      </c>
      <c r="AQ11" s="396">
        <f t="shared" si="0"/>
        <v>0</v>
      </c>
      <c r="AR11" s="396">
        <f t="shared" si="0"/>
        <v>0</v>
      </c>
      <c r="AS11" s="396">
        <f t="shared" si="0"/>
        <v>0</v>
      </c>
      <c r="AT11" s="396">
        <f t="shared" si="0"/>
        <v>0</v>
      </c>
      <c r="AU11" s="396">
        <f t="shared" si="0"/>
        <v>0</v>
      </c>
      <c r="AV11" s="397">
        <f t="shared" si="1"/>
        <v>0</v>
      </c>
    </row>
    <row r="12" spans="1:90" ht="37.35" customHeight="1" x14ac:dyDescent="0.15">
      <c r="A12" s="442"/>
      <c r="B12" s="30" t="s">
        <v>6</v>
      </c>
      <c r="C12" s="300">
        <f t="shared" si="3"/>
        <v>0</v>
      </c>
      <c r="D12" s="188">
        <f t="shared" si="3"/>
        <v>0</v>
      </c>
      <c r="E12" s="266"/>
      <c r="F12" s="266"/>
      <c r="G12" s="266"/>
      <c r="H12" s="266"/>
      <c r="I12" s="266"/>
      <c r="J12" s="297"/>
      <c r="K12" s="276"/>
      <c r="L12" s="266"/>
      <c r="M12" s="266"/>
      <c r="N12" s="266"/>
      <c r="O12" s="266"/>
      <c r="P12" s="298"/>
      <c r="Q12" s="266"/>
      <c r="R12" s="266"/>
      <c r="S12" s="266"/>
      <c r="T12" s="266"/>
      <c r="U12" s="297"/>
      <c r="V12" s="276"/>
      <c r="W12" s="266"/>
      <c r="X12" s="266"/>
      <c r="Y12" s="266"/>
      <c r="Z12" s="266"/>
      <c r="AA12" s="297"/>
      <c r="AB12" s="276"/>
      <c r="AC12" s="266"/>
      <c r="AD12" s="266" t="s">
        <v>38</v>
      </c>
      <c r="AE12" s="266" t="s">
        <v>38</v>
      </c>
      <c r="AF12" s="266" t="s">
        <v>38</v>
      </c>
      <c r="AG12" s="299" t="s">
        <v>38</v>
      </c>
      <c r="AH12" s="32" t="s">
        <v>38</v>
      </c>
      <c r="AI12" s="32" t="s">
        <v>38</v>
      </c>
      <c r="AJ12" s="32" t="s">
        <v>38</v>
      </c>
      <c r="AK12" s="48" t="s">
        <v>38</v>
      </c>
      <c r="AL12" s="47"/>
      <c r="AN12" s="395">
        <f t="shared" si="0"/>
        <v>0</v>
      </c>
      <c r="AO12" s="396">
        <f t="shared" si="0"/>
        <v>0</v>
      </c>
      <c r="AP12" s="396">
        <f t="shared" si="0"/>
        <v>0</v>
      </c>
      <c r="AQ12" s="396">
        <f t="shared" si="0"/>
        <v>0</v>
      </c>
      <c r="AR12" s="396">
        <f t="shared" si="0"/>
        <v>0</v>
      </c>
      <c r="AS12" s="396">
        <f t="shared" si="0"/>
        <v>0</v>
      </c>
      <c r="AT12" s="396">
        <f t="shared" si="0"/>
        <v>0</v>
      </c>
      <c r="AU12" s="396">
        <f t="shared" si="0"/>
        <v>0</v>
      </c>
      <c r="AV12" s="397">
        <f t="shared" si="1"/>
        <v>0</v>
      </c>
    </row>
    <row r="13" spans="1:90" ht="37.35" customHeight="1" x14ac:dyDescent="0.15">
      <c r="A13" s="442"/>
      <c r="B13" s="30" t="s">
        <v>7</v>
      </c>
      <c r="C13" s="49">
        <f t="shared" si="3"/>
        <v>0</v>
      </c>
      <c r="D13" s="188">
        <f t="shared" si="3"/>
        <v>0</v>
      </c>
      <c r="E13" s="266"/>
      <c r="F13" s="266"/>
      <c r="G13" s="266"/>
      <c r="H13" s="266"/>
      <c r="I13" s="266"/>
      <c r="J13" s="297"/>
      <c r="K13" s="276"/>
      <c r="L13" s="266"/>
      <c r="M13" s="266"/>
      <c r="N13" s="266"/>
      <c r="O13" s="266"/>
      <c r="P13" s="298"/>
      <c r="Q13" s="266"/>
      <c r="R13" s="266"/>
      <c r="S13" s="266"/>
      <c r="T13" s="266"/>
      <c r="U13" s="297"/>
      <c r="V13" s="276"/>
      <c r="W13" s="266"/>
      <c r="X13" s="266"/>
      <c r="Y13" s="266"/>
      <c r="Z13" s="266"/>
      <c r="AA13" s="297"/>
      <c r="AB13" s="276"/>
      <c r="AC13" s="266"/>
      <c r="AD13" s="266" t="s">
        <v>38</v>
      </c>
      <c r="AE13" s="266" t="s">
        <v>38</v>
      </c>
      <c r="AF13" s="266" t="s">
        <v>38</v>
      </c>
      <c r="AG13" s="299" t="s">
        <v>38</v>
      </c>
      <c r="AH13" s="32" t="s">
        <v>38</v>
      </c>
      <c r="AI13" s="32" t="s">
        <v>38</v>
      </c>
      <c r="AJ13" s="32" t="s">
        <v>38</v>
      </c>
      <c r="AK13" s="48" t="s">
        <v>38</v>
      </c>
      <c r="AL13" s="47"/>
      <c r="AN13" s="395">
        <f t="shared" si="0"/>
        <v>0</v>
      </c>
      <c r="AO13" s="396">
        <f t="shared" si="0"/>
        <v>0</v>
      </c>
      <c r="AP13" s="396">
        <f t="shared" si="0"/>
        <v>0</v>
      </c>
      <c r="AQ13" s="396">
        <f t="shared" si="0"/>
        <v>0</v>
      </c>
      <c r="AR13" s="396">
        <f t="shared" si="0"/>
        <v>0</v>
      </c>
      <c r="AS13" s="396">
        <f t="shared" si="0"/>
        <v>0</v>
      </c>
      <c r="AT13" s="396">
        <f t="shared" si="0"/>
        <v>0</v>
      </c>
      <c r="AU13" s="396">
        <f t="shared" si="0"/>
        <v>0</v>
      </c>
      <c r="AV13" s="397">
        <f t="shared" si="1"/>
        <v>0</v>
      </c>
    </row>
    <row r="14" spans="1:90" ht="37.35" customHeight="1" thickBot="1" x14ac:dyDescent="0.2">
      <c r="A14" s="443"/>
      <c r="B14" s="35" t="s">
        <v>8</v>
      </c>
      <c r="C14" s="301">
        <f t="shared" si="3"/>
        <v>0</v>
      </c>
      <c r="D14" s="279">
        <f t="shared" si="3"/>
        <v>0</v>
      </c>
      <c r="E14" s="302"/>
      <c r="F14" s="302"/>
      <c r="G14" s="302"/>
      <c r="H14" s="302"/>
      <c r="I14" s="302"/>
      <c r="J14" s="303"/>
      <c r="K14" s="265"/>
      <c r="L14" s="304"/>
      <c r="M14" s="304"/>
      <c r="N14" s="304"/>
      <c r="O14" s="304"/>
      <c r="P14" s="305"/>
      <c r="Q14" s="304"/>
      <c r="R14" s="304"/>
      <c r="S14" s="304"/>
      <c r="T14" s="304"/>
      <c r="U14" s="50"/>
      <c r="V14" s="265"/>
      <c r="W14" s="304"/>
      <c r="X14" s="304"/>
      <c r="Y14" s="304"/>
      <c r="Z14" s="304"/>
      <c r="AA14" s="50"/>
      <c r="AB14" s="265"/>
      <c r="AC14" s="304"/>
      <c r="AD14" s="304" t="s">
        <v>38</v>
      </c>
      <c r="AE14" s="304" t="s">
        <v>38</v>
      </c>
      <c r="AF14" s="304" t="s">
        <v>38</v>
      </c>
      <c r="AG14" s="306" t="s">
        <v>38</v>
      </c>
      <c r="AH14" s="27" t="s">
        <v>38</v>
      </c>
      <c r="AI14" s="32" t="s">
        <v>38</v>
      </c>
      <c r="AJ14" s="32" t="s">
        <v>38</v>
      </c>
      <c r="AK14" s="48" t="s">
        <v>38</v>
      </c>
      <c r="AL14" s="47"/>
      <c r="AN14" s="404">
        <f t="shared" si="0"/>
        <v>0</v>
      </c>
      <c r="AO14" s="405">
        <f t="shared" si="0"/>
        <v>0</v>
      </c>
      <c r="AP14" s="405">
        <f t="shared" si="0"/>
        <v>0</v>
      </c>
      <c r="AQ14" s="405">
        <f t="shared" si="0"/>
        <v>0</v>
      </c>
      <c r="AR14" s="405">
        <f t="shared" si="0"/>
        <v>0</v>
      </c>
      <c r="AS14" s="405">
        <f t="shared" si="0"/>
        <v>0</v>
      </c>
      <c r="AT14" s="405">
        <f t="shared" si="0"/>
        <v>0</v>
      </c>
      <c r="AU14" s="405">
        <f t="shared" si="0"/>
        <v>0</v>
      </c>
      <c r="AV14" s="406">
        <f t="shared" si="1"/>
        <v>0</v>
      </c>
    </row>
    <row r="15" spans="1:90" ht="37.35" customHeight="1" x14ac:dyDescent="0.15">
      <c r="A15" s="442" t="s">
        <v>10</v>
      </c>
      <c r="B15" s="22" t="s">
        <v>4</v>
      </c>
      <c r="C15" s="51">
        <f>C41</f>
        <v>0</v>
      </c>
      <c r="D15" s="40">
        <f>D41</f>
        <v>0</v>
      </c>
      <c r="E15" s="294"/>
      <c r="F15" s="41"/>
      <c r="G15" s="41"/>
      <c r="H15" s="41"/>
      <c r="I15" s="41"/>
      <c r="J15" s="42"/>
      <c r="K15" s="294"/>
      <c r="L15" s="41"/>
      <c r="M15" s="41"/>
      <c r="N15" s="41"/>
      <c r="O15" s="41"/>
      <c r="P15" s="44"/>
      <c r="Q15" s="41"/>
      <c r="R15" s="41"/>
      <c r="S15" s="41"/>
      <c r="T15" s="41"/>
      <c r="U15" s="42"/>
      <c r="V15" s="294"/>
      <c r="W15" s="41"/>
      <c r="X15" s="41"/>
      <c r="Y15" s="41"/>
      <c r="Z15" s="41"/>
      <c r="AA15" s="42"/>
      <c r="AB15" s="294"/>
      <c r="AC15" s="41"/>
      <c r="AD15" s="41" t="s">
        <v>38</v>
      </c>
      <c r="AE15" s="41" t="s">
        <v>38</v>
      </c>
      <c r="AF15" s="41" t="s">
        <v>38</v>
      </c>
      <c r="AG15" s="44" t="s">
        <v>38</v>
      </c>
      <c r="AH15" s="45" t="s">
        <v>38</v>
      </c>
      <c r="AI15" s="45" t="s">
        <v>38</v>
      </c>
      <c r="AJ15" s="45" t="s">
        <v>38</v>
      </c>
      <c r="AK15" s="46" t="s">
        <v>38</v>
      </c>
      <c r="AL15" s="47"/>
      <c r="AN15" s="389">
        <f t="shared" si="0"/>
        <v>0</v>
      </c>
      <c r="AO15" s="393">
        <f t="shared" si="0"/>
        <v>0</v>
      </c>
      <c r="AP15" s="393">
        <f t="shared" si="0"/>
        <v>0</v>
      </c>
      <c r="AQ15" s="393">
        <f t="shared" si="0"/>
        <v>0</v>
      </c>
      <c r="AR15" s="393">
        <f t="shared" si="0"/>
        <v>0</v>
      </c>
      <c r="AS15" s="393">
        <f t="shared" si="0"/>
        <v>0</v>
      </c>
      <c r="AT15" s="393">
        <f t="shared" si="0"/>
        <v>0</v>
      </c>
      <c r="AU15" s="393">
        <f t="shared" si="0"/>
        <v>0</v>
      </c>
      <c r="AV15" s="394">
        <f t="shared" si="1"/>
        <v>0</v>
      </c>
    </row>
    <row r="16" spans="1:90" ht="37.35" customHeight="1" x14ac:dyDescent="0.15">
      <c r="A16" s="442"/>
      <c r="B16" s="30" t="s">
        <v>5</v>
      </c>
      <c r="C16" s="307">
        <f t="shared" ref="C16:D19" si="4">C42</f>
        <v>0</v>
      </c>
      <c r="D16" s="188">
        <f t="shared" si="4"/>
        <v>0</v>
      </c>
      <c r="E16" s="276"/>
      <c r="F16" s="302"/>
      <c r="G16" s="302"/>
      <c r="H16" s="302"/>
      <c r="I16" s="302"/>
      <c r="J16" s="303"/>
      <c r="K16" s="276"/>
      <c r="L16" s="302"/>
      <c r="M16" s="302"/>
      <c r="N16" s="302"/>
      <c r="O16" s="302"/>
      <c r="P16" s="308"/>
      <c r="Q16" s="302"/>
      <c r="R16" s="302"/>
      <c r="S16" s="302"/>
      <c r="T16" s="302"/>
      <c r="U16" s="303"/>
      <c r="V16" s="276"/>
      <c r="W16" s="302"/>
      <c r="X16" s="302"/>
      <c r="Y16" s="302"/>
      <c r="Z16" s="302"/>
      <c r="AA16" s="303"/>
      <c r="AB16" s="276"/>
      <c r="AC16" s="302"/>
      <c r="AD16" s="302" t="s">
        <v>38</v>
      </c>
      <c r="AE16" s="302" t="s">
        <v>38</v>
      </c>
      <c r="AF16" s="302" t="s">
        <v>38</v>
      </c>
      <c r="AG16" s="308" t="s">
        <v>38</v>
      </c>
      <c r="AH16" s="32" t="s">
        <v>38</v>
      </c>
      <c r="AI16" s="32" t="s">
        <v>38</v>
      </c>
      <c r="AJ16" s="32" t="s">
        <v>38</v>
      </c>
      <c r="AK16" s="52" t="s">
        <v>38</v>
      </c>
      <c r="AL16" s="47"/>
      <c r="AN16" s="395">
        <f t="shared" si="0"/>
        <v>0</v>
      </c>
      <c r="AO16" s="396">
        <f t="shared" si="0"/>
        <v>0</v>
      </c>
      <c r="AP16" s="396">
        <f t="shared" si="0"/>
        <v>0</v>
      </c>
      <c r="AQ16" s="396">
        <f t="shared" si="0"/>
        <v>0</v>
      </c>
      <c r="AR16" s="396">
        <f t="shared" si="0"/>
        <v>0</v>
      </c>
      <c r="AS16" s="396">
        <f t="shared" si="0"/>
        <v>0</v>
      </c>
      <c r="AT16" s="396">
        <f t="shared" si="0"/>
        <v>0</v>
      </c>
      <c r="AU16" s="396">
        <f t="shared" si="0"/>
        <v>0</v>
      </c>
      <c r="AV16" s="397">
        <f t="shared" si="1"/>
        <v>0</v>
      </c>
    </row>
    <row r="17" spans="1:90" ht="37.35" customHeight="1" x14ac:dyDescent="0.15">
      <c r="A17" s="442"/>
      <c r="B17" s="30" t="s">
        <v>6</v>
      </c>
      <c r="C17" s="309">
        <f t="shared" si="4"/>
        <v>0</v>
      </c>
      <c r="D17" s="188">
        <f t="shared" si="4"/>
        <v>0</v>
      </c>
      <c r="E17" s="276"/>
      <c r="F17" s="310"/>
      <c r="G17" s="310"/>
      <c r="H17" s="310"/>
      <c r="I17" s="310"/>
      <c r="J17" s="311"/>
      <c r="K17" s="276"/>
      <c r="L17" s="310"/>
      <c r="M17" s="310"/>
      <c r="N17" s="310"/>
      <c r="O17" s="310"/>
      <c r="P17" s="312"/>
      <c r="Q17" s="310"/>
      <c r="R17" s="310"/>
      <c r="S17" s="310"/>
      <c r="T17" s="310"/>
      <c r="U17" s="311"/>
      <c r="V17" s="276"/>
      <c r="W17" s="310"/>
      <c r="X17" s="310"/>
      <c r="Y17" s="310"/>
      <c r="Z17" s="310"/>
      <c r="AA17" s="311"/>
      <c r="AB17" s="276"/>
      <c r="AC17" s="310"/>
      <c r="AD17" s="310" t="s">
        <v>38</v>
      </c>
      <c r="AE17" s="310" t="s">
        <v>38</v>
      </c>
      <c r="AF17" s="310" t="s">
        <v>38</v>
      </c>
      <c r="AG17" s="312" t="s">
        <v>38</v>
      </c>
      <c r="AH17" s="53" t="s">
        <v>38</v>
      </c>
      <c r="AI17" s="53" t="s">
        <v>38</v>
      </c>
      <c r="AJ17" s="53" t="s">
        <v>38</v>
      </c>
      <c r="AK17" s="54" t="s">
        <v>38</v>
      </c>
      <c r="AL17" s="47"/>
      <c r="AN17" s="395">
        <f t="shared" si="0"/>
        <v>0</v>
      </c>
      <c r="AO17" s="396">
        <f t="shared" si="0"/>
        <v>0</v>
      </c>
      <c r="AP17" s="396">
        <f t="shared" si="0"/>
        <v>0</v>
      </c>
      <c r="AQ17" s="396">
        <f t="shared" si="0"/>
        <v>0</v>
      </c>
      <c r="AR17" s="396">
        <f t="shared" si="0"/>
        <v>0</v>
      </c>
      <c r="AS17" s="396">
        <f t="shared" si="0"/>
        <v>0</v>
      </c>
      <c r="AT17" s="396">
        <f t="shared" si="0"/>
        <v>0</v>
      </c>
      <c r="AU17" s="396">
        <f t="shared" si="0"/>
        <v>0</v>
      </c>
      <c r="AV17" s="397">
        <f t="shared" si="1"/>
        <v>0</v>
      </c>
    </row>
    <row r="18" spans="1:90" ht="37.35" customHeight="1" x14ac:dyDescent="0.15">
      <c r="A18" s="442"/>
      <c r="B18" s="30" t="s">
        <v>7</v>
      </c>
      <c r="C18" s="313">
        <f t="shared" si="4"/>
        <v>0</v>
      </c>
      <c r="D18" s="279">
        <f t="shared" si="4"/>
        <v>0</v>
      </c>
      <c r="E18" s="276"/>
      <c r="F18" s="314"/>
      <c r="G18" s="314"/>
      <c r="H18" s="314"/>
      <c r="I18" s="314"/>
      <c r="J18" s="315"/>
      <c r="K18" s="276"/>
      <c r="L18" s="314"/>
      <c r="M18" s="314"/>
      <c r="N18" s="314"/>
      <c r="O18" s="314"/>
      <c r="P18" s="316"/>
      <c r="Q18" s="314"/>
      <c r="R18" s="314"/>
      <c r="S18" s="314"/>
      <c r="T18" s="314"/>
      <c r="U18" s="315"/>
      <c r="V18" s="276"/>
      <c r="W18" s="314"/>
      <c r="X18" s="314"/>
      <c r="Y18" s="314"/>
      <c r="Z18" s="314"/>
      <c r="AA18" s="315"/>
      <c r="AB18" s="276"/>
      <c r="AC18" s="314"/>
      <c r="AD18" s="314" t="s">
        <v>38</v>
      </c>
      <c r="AE18" s="314" t="s">
        <v>38</v>
      </c>
      <c r="AF18" s="314" t="s">
        <v>38</v>
      </c>
      <c r="AG18" s="316" t="s">
        <v>38</v>
      </c>
      <c r="AH18" s="53" t="s">
        <v>38</v>
      </c>
      <c r="AI18" s="53" t="s">
        <v>38</v>
      </c>
      <c r="AJ18" s="53" t="s">
        <v>38</v>
      </c>
      <c r="AK18" s="54" t="s">
        <v>38</v>
      </c>
      <c r="AL18" s="47"/>
      <c r="AN18" s="395">
        <f t="shared" si="0"/>
        <v>0</v>
      </c>
      <c r="AO18" s="396">
        <f t="shared" si="0"/>
        <v>0</v>
      </c>
      <c r="AP18" s="396">
        <f t="shared" si="0"/>
        <v>0</v>
      </c>
      <c r="AQ18" s="396">
        <f t="shared" si="0"/>
        <v>0</v>
      </c>
      <c r="AR18" s="396">
        <f t="shared" si="0"/>
        <v>0</v>
      </c>
      <c r="AS18" s="396">
        <f t="shared" si="0"/>
        <v>0</v>
      </c>
      <c r="AT18" s="396">
        <f t="shared" si="0"/>
        <v>0</v>
      </c>
      <c r="AU18" s="396">
        <f t="shared" si="0"/>
        <v>0</v>
      </c>
      <c r="AV18" s="397">
        <f t="shared" si="1"/>
        <v>0</v>
      </c>
    </row>
    <row r="19" spans="1:90" ht="37.35" customHeight="1" thickBot="1" x14ac:dyDescent="0.2">
      <c r="A19" s="442"/>
      <c r="B19" s="35" t="s">
        <v>8</v>
      </c>
      <c r="C19" s="317">
        <f t="shared" si="4"/>
        <v>0</v>
      </c>
      <c r="D19" s="279">
        <f t="shared" si="4"/>
        <v>0</v>
      </c>
      <c r="E19" s="290"/>
      <c r="F19" s="280"/>
      <c r="G19" s="280"/>
      <c r="H19" s="280"/>
      <c r="I19" s="280"/>
      <c r="J19" s="318"/>
      <c r="K19" s="290"/>
      <c r="L19" s="280"/>
      <c r="M19" s="280"/>
      <c r="N19" s="280"/>
      <c r="O19" s="280"/>
      <c r="P19" s="319"/>
      <c r="Q19" s="280"/>
      <c r="R19" s="280"/>
      <c r="S19" s="280"/>
      <c r="T19" s="280"/>
      <c r="U19" s="318"/>
      <c r="V19" s="290"/>
      <c r="W19" s="280"/>
      <c r="X19" s="280"/>
      <c r="Y19" s="280"/>
      <c r="Z19" s="280"/>
      <c r="AA19" s="318"/>
      <c r="AB19" s="290"/>
      <c r="AC19" s="280"/>
      <c r="AD19" s="280" t="s">
        <v>38</v>
      </c>
      <c r="AE19" s="280" t="s">
        <v>38</v>
      </c>
      <c r="AF19" s="280" t="s">
        <v>38</v>
      </c>
      <c r="AG19" s="319" t="s">
        <v>38</v>
      </c>
      <c r="AH19" s="36" t="s">
        <v>38</v>
      </c>
      <c r="AI19" s="36" t="s">
        <v>38</v>
      </c>
      <c r="AJ19" s="36" t="s">
        <v>38</v>
      </c>
      <c r="AK19" s="55" t="s">
        <v>38</v>
      </c>
      <c r="AL19" s="47"/>
      <c r="AN19" s="407">
        <f t="shared" si="0"/>
        <v>0</v>
      </c>
      <c r="AO19" s="408">
        <f t="shared" si="0"/>
        <v>0</v>
      </c>
      <c r="AP19" s="408">
        <f t="shared" si="0"/>
        <v>0</v>
      </c>
      <c r="AQ19" s="408">
        <f t="shared" si="0"/>
        <v>0</v>
      </c>
      <c r="AR19" s="408">
        <f t="shared" si="0"/>
        <v>0</v>
      </c>
      <c r="AS19" s="408">
        <f t="shared" si="0"/>
        <v>0</v>
      </c>
      <c r="AT19" s="408">
        <f t="shared" si="0"/>
        <v>0</v>
      </c>
      <c r="AU19" s="408">
        <f t="shared" si="0"/>
        <v>0</v>
      </c>
      <c r="AV19" s="409">
        <f t="shared" si="1"/>
        <v>0</v>
      </c>
      <c r="BD19" s="446"/>
      <c r="BE19" s="447"/>
      <c r="BF19" s="447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</row>
    <row r="20" spans="1:90" ht="3.75" customHeight="1" thickBot="1" x14ac:dyDescent="0.2">
      <c r="A20" s="57"/>
      <c r="B20" s="58"/>
      <c r="C20" s="59"/>
      <c r="D20" s="60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2"/>
      <c r="R20" s="62"/>
      <c r="S20" s="62"/>
      <c r="T20" s="62"/>
      <c r="U20" s="62"/>
      <c r="V20" s="63"/>
      <c r="W20" s="62"/>
      <c r="X20" s="62"/>
      <c r="Y20" s="62"/>
      <c r="Z20" s="62"/>
      <c r="AA20" s="62"/>
      <c r="AB20" s="64"/>
      <c r="AC20" s="65"/>
      <c r="AD20" s="65"/>
      <c r="AE20" s="65"/>
      <c r="AF20" s="65"/>
      <c r="AG20" s="66"/>
      <c r="AH20" s="67"/>
      <c r="AI20" s="67"/>
      <c r="AJ20" s="67"/>
      <c r="AK20" s="67"/>
      <c r="AN20" s="391"/>
      <c r="AO20" s="392"/>
      <c r="AP20" s="392"/>
      <c r="AQ20" s="392"/>
      <c r="AR20" s="392"/>
      <c r="AS20" s="392"/>
      <c r="AT20" s="392"/>
      <c r="AU20" s="392"/>
      <c r="AV20" s="392"/>
      <c r="AW20" s="392"/>
      <c r="AX20" s="392"/>
      <c r="AY20" s="392"/>
      <c r="AZ20" s="392"/>
      <c r="BA20" s="392"/>
      <c r="BB20" s="392"/>
      <c r="BC20" s="392"/>
    </row>
    <row r="21" spans="1:90" ht="30" customHeight="1" x14ac:dyDescent="0.15">
      <c r="A21" s="442" t="s">
        <v>27</v>
      </c>
      <c r="B21" s="68" t="s">
        <v>4</v>
      </c>
      <c r="C21" s="320"/>
      <c r="D21" s="321"/>
      <c r="E21" s="322"/>
      <c r="F21" s="323"/>
      <c r="G21" s="323"/>
      <c r="H21" s="323"/>
      <c r="I21" s="323"/>
      <c r="J21" s="223"/>
      <c r="K21" s="324"/>
      <c r="L21" s="325"/>
      <c r="M21" s="325"/>
      <c r="N21" s="325"/>
      <c r="O21" s="325"/>
      <c r="P21" s="189"/>
      <c r="Q21" s="322"/>
      <c r="R21" s="325"/>
      <c r="S21" s="325"/>
      <c r="T21" s="326"/>
      <c r="U21" s="223"/>
      <c r="V21" s="327"/>
      <c r="W21" s="328"/>
      <c r="X21" s="325"/>
      <c r="Y21" s="325"/>
      <c r="Z21" s="323"/>
      <c r="AA21" s="325"/>
      <c r="AB21" s="327"/>
      <c r="AC21" s="323"/>
      <c r="AD21" s="323"/>
      <c r="AE21" s="323"/>
      <c r="AF21" s="323"/>
      <c r="AG21" s="329"/>
      <c r="AH21" s="69"/>
      <c r="AI21" s="70"/>
      <c r="AJ21" s="70"/>
      <c r="AK21" s="71"/>
      <c r="AM21" s="72">
        <f>D21</f>
        <v>0</v>
      </c>
      <c r="AN21" s="389">
        <f t="shared" ref="AN21:BB30" si="5">COUNTIF($E21:$AK21,"*"&amp;AN$66&amp;"*")</f>
        <v>0</v>
      </c>
      <c r="AO21" s="190">
        <f t="shared" si="5"/>
        <v>0</v>
      </c>
      <c r="AP21" s="191">
        <f t="shared" si="5"/>
        <v>0</v>
      </c>
      <c r="AQ21" s="390">
        <f t="shared" si="5"/>
        <v>0</v>
      </c>
      <c r="AR21" s="192">
        <f t="shared" si="5"/>
        <v>0</v>
      </c>
      <c r="AS21" s="138">
        <f t="shared" si="5"/>
        <v>0</v>
      </c>
      <c r="AT21" s="190">
        <f t="shared" si="5"/>
        <v>0</v>
      </c>
      <c r="AU21" s="190">
        <f t="shared" si="5"/>
        <v>0</v>
      </c>
      <c r="AV21" s="190">
        <f t="shared" si="5"/>
        <v>0</v>
      </c>
      <c r="AW21" s="191">
        <f t="shared" si="5"/>
        <v>0</v>
      </c>
      <c r="AX21" s="138">
        <f t="shared" si="5"/>
        <v>0</v>
      </c>
      <c r="AY21" s="190">
        <f t="shared" si="5"/>
        <v>0</v>
      </c>
      <c r="AZ21" s="193">
        <f t="shared" si="5"/>
        <v>0</v>
      </c>
      <c r="BA21" s="390">
        <f t="shared" si="5"/>
        <v>0</v>
      </c>
      <c r="BB21" s="193">
        <f t="shared" si="5"/>
        <v>0</v>
      </c>
      <c r="BC21" s="193">
        <f>SUM(AN21:AZ21)</f>
        <v>0</v>
      </c>
      <c r="BD21" s="79"/>
      <c r="BE21" s="79"/>
      <c r="BF21" s="79"/>
      <c r="BG21" s="80"/>
      <c r="BI21" s="81"/>
    </row>
    <row r="22" spans="1:90" ht="30" customHeight="1" x14ac:dyDescent="0.15">
      <c r="A22" s="442"/>
      <c r="B22" s="82" t="s">
        <v>28</v>
      </c>
      <c r="C22" s="317"/>
      <c r="D22" s="330"/>
      <c r="E22" s="322"/>
      <c r="F22" s="323"/>
      <c r="G22" s="323"/>
      <c r="H22" s="323"/>
      <c r="I22" s="323"/>
      <c r="J22" s="331"/>
      <c r="K22" s="324"/>
      <c r="L22" s="325"/>
      <c r="M22" s="325"/>
      <c r="N22" s="325"/>
      <c r="O22" s="325"/>
      <c r="P22" s="189"/>
      <c r="Q22" s="322"/>
      <c r="R22" s="325"/>
      <c r="S22" s="325"/>
      <c r="T22" s="326"/>
      <c r="U22" s="331"/>
      <c r="V22" s="327"/>
      <c r="W22" s="328"/>
      <c r="X22" s="325"/>
      <c r="Y22" s="325"/>
      <c r="Z22" s="323"/>
      <c r="AA22" s="332"/>
      <c r="AB22" s="327"/>
      <c r="AC22" s="323"/>
      <c r="AD22" s="323"/>
      <c r="AE22" s="323"/>
      <c r="AF22" s="323"/>
      <c r="AG22" s="329"/>
      <c r="AH22" s="69"/>
      <c r="AI22" s="70"/>
      <c r="AJ22" s="70"/>
      <c r="AK22" s="71"/>
      <c r="AM22" s="72">
        <f t="shared" ref="AM22:AM65" si="6">D22</f>
        <v>0</v>
      </c>
      <c r="AN22" s="83">
        <f t="shared" si="5"/>
        <v>0</v>
      </c>
      <c r="AO22" s="84">
        <f t="shared" si="5"/>
        <v>0</v>
      </c>
      <c r="AP22" s="85">
        <f t="shared" si="5"/>
        <v>0</v>
      </c>
      <c r="AQ22" s="86">
        <f t="shared" si="5"/>
        <v>0</v>
      </c>
      <c r="AR22" s="87">
        <f t="shared" si="5"/>
        <v>0</v>
      </c>
      <c r="AS22" s="88">
        <f t="shared" si="5"/>
        <v>0</v>
      </c>
      <c r="AT22" s="84">
        <f t="shared" si="5"/>
        <v>0</v>
      </c>
      <c r="AU22" s="87">
        <f t="shared" si="5"/>
        <v>0</v>
      </c>
      <c r="AV22" s="87">
        <f t="shared" si="5"/>
        <v>0</v>
      </c>
      <c r="AW22" s="85">
        <f t="shared" si="5"/>
        <v>0</v>
      </c>
      <c r="AX22" s="88">
        <f t="shared" si="5"/>
        <v>0</v>
      </c>
      <c r="AY22" s="84">
        <f t="shared" si="5"/>
        <v>0</v>
      </c>
      <c r="AZ22" s="89">
        <f t="shared" si="5"/>
        <v>0</v>
      </c>
      <c r="BA22" s="86">
        <f t="shared" si="5"/>
        <v>0</v>
      </c>
      <c r="BB22" s="89">
        <f t="shared" si="5"/>
        <v>0</v>
      </c>
      <c r="BC22" s="89">
        <f t="shared" ref="BC22:BC65" si="7">SUM(AN22:AZ22)</f>
        <v>0</v>
      </c>
      <c r="BD22" s="79"/>
      <c r="BE22" s="79"/>
      <c r="BF22" s="79"/>
      <c r="BG22" s="80"/>
      <c r="BI22" s="81"/>
    </row>
    <row r="23" spans="1:90" ht="30" customHeight="1" x14ac:dyDescent="0.15">
      <c r="A23" s="442"/>
      <c r="B23" s="90" t="s">
        <v>29</v>
      </c>
      <c r="C23" s="317"/>
      <c r="D23" s="330"/>
      <c r="E23" s="322"/>
      <c r="F23" s="323"/>
      <c r="G23" s="323"/>
      <c r="H23" s="323"/>
      <c r="I23" s="323"/>
      <c r="J23" s="331"/>
      <c r="K23" s="324"/>
      <c r="L23" s="325"/>
      <c r="M23" s="325"/>
      <c r="N23" s="325"/>
      <c r="O23" s="325"/>
      <c r="P23" s="189"/>
      <c r="Q23" s="322"/>
      <c r="R23" s="325"/>
      <c r="S23" s="325"/>
      <c r="T23" s="326"/>
      <c r="U23" s="331"/>
      <c r="V23" s="327"/>
      <c r="W23" s="328"/>
      <c r="X23" s="325"/>
      <c r="Y23" s="325"/>
      <c r="Z23" s="323"/>
      <c r="AA23" s="332"/>
      <c r="AB23" s="327"/>
      <c r="AC23" s="323"/>
      <c r="AD23" s="323"/>
      <c r="AE23" s="323"/>
      <c r="AF23" s="323"/>
      <c r="AG23" s="329"/>
      <c r="AH23" s="69"/>
      <c r="AI23" s="70"/>
      <c r="AJ23" s="70"/>
      <c r="AK23" s="71"/>
      <c r="AM23" s="72">
        <f t="shared" si="6"/>
        <v>0</v>
      </c>
      <c r="AN23" s="91">
        <f t="shared" si="5"/>
        <v>0</v>
      </c>
      <c r="AO23" s="92">
        <f t="shared" si="5"/>
        <v>0</v>
      </c>
      <c r="AP23" s="93">
        <f t="shared" si="5"/>
        <v>0</v>
      </c>
      <c r="AQ23" s="94">
        <f t="shared" si="5"/>
        <v>0</v>
      </c>
      <c r="AR23" s="95">
        <f t="shared" si="5"/>
        <v>0</v>
      </c>
      <c r="AS23" s="96">
        <f t="shared" si="5"/>
        <v>0</v>
      </c>
      <c r="AT23" s="92">
        <f t="shared" si="5"/>
        <v>0</v>
      </c>
      <c r="AU23" s="95">
        <f t="shared" si="5"/>
        <v>0</v>
      </c>
      <c r="AV23" s="95">
        <f t="shared" si="5"/>
        <v>0</v>
      </c>
      <c r="AW23" s="93">
        <f t="shared" si="5"/>
        <v>0</v>
      </c>
      <c r="AX23" s="96">
        <f t="shared" si="5"/>
        <v>0</v>
      </c>
      <c r="AY23" s="92">
        <f t="shared" si="5"/>
        <v>0</v>
      </c>
      <c r="AZ23" s="97">
        <f t="shared" si="5"/>
        <v>0</v>
      </c>
      <c r="BA23" s="94">
        <f t="shared" si="5"/>
        <v>0</v>
      </c>
      <c r="BB23" s="97">
        <f t="shared" si="5"/>
        <v>0</v>
      </c>
      <c r="BC23" s="97">
        <f t="shared" si="7"/>
        <v>0</v>
      </c>
      <c r="BD23" s="79"/>
      <c r="BE23" s="79"/>
      <c r="BF23" s="79"/>
      <c r="BG23" s="80"/>
      <c r="BI23" s="81"/>
    </row>
    <row r="24" spans="1:90" ht="30" customHeight="1" outlineLevel="1" x14ac:dyDescent="0.15">
      <c r="A24" s="442"/>
      <c r="B24" s="98" t="s">
        <v>7</v>
      </c>
      <c r="C24" s="317"/>
      <c r="D24" s="321"/>
      <c r="E24" s="322"/>
      <c r="F24" s="323"/>
      <c r="G24" s="323"/>
      <c r="H24" s="323"/>
      <c r="I24" s="323"/>
      <c r="J24" s="331"/>
      <c r="K24" s="324"/>
      <c r="L24" s="325"/>
      <c r="M24" s="325"/>
      <c r="N24" s="325"/>
      <c r="O24" s="325"/>
      <c r="P24" s="189"/>
      <c r="Q24" s="322"/>
      <c r="R24" s="325"/>
      <c r="S24" s="325"/>
      <c r="T24" s="326"/>
      <c r="U24" s="331"/>
      <c r="V24" s="327"/>
      <c r="W24" s="328"/>
      <c r="X24" s="325"/>
      <c r="Y24" s="325"/>
      <c r="Z24" s="323"/>
      <c r="AA24" s="332"/>
      <c r="AB24" s="327"/>
      <c r="AC24" s="323"/>
      <c r="AD24" s="323"/>
      <c r="AE24" s="323"/>
      <c r="AF24" s="323"/>
      <c r="AG24" s="329"/>
      <c r="AH24" s="69"/>
      <c r="AI24" s="70"/>
      <c r="AJ24" s="70"/>
      <c r="AK24" s="71"/>
      <c r="AM24" s="72">
        <f t="shared" si="6"/>
        <v>0</v>
      </c>
      <c r="AN24" s="91">
        <f t="shared" si="5"/>
        <v>0</v>
      </c>
      <c r="AO24" s="92">
        <f t="shared" si="5"/>
        <v>0</v>
      </c>
      <c r="AP24" s="93">
        <f t="shared" si="5"/>
        <v>0</v>
      </c>
      <c r="AQ24" s="94">
        <f t="shared" si="5"/>
        <v>0</v>
      </c>
      <c r="AR24" s="95">
        <f t="shared" si="5"/>
        <v>0</v>
      </c>
      <c r="AS24" s="96">
        <f t="shared" si="5"/>
        <v>0</v>
      </c>
      <c r="AT24" s="92">
        <f t="shared" si="5"/>
        <v>0</v>
      </c>
      <c r="AU24" s="95">
        <f t="shared" si="5"/>
        <v>0</v>
      </c>
      <c r="AV24" s="95">
        <f t="shared" si="5"/>
        <v>0</v>
      </c>
      <c r="AW24" s="93">
        <f t="shared" si="5"/>
        <v>0</v>
      </c>
      <c r="AX24" s="96">
        <f t="shared" si="5"/>
        <v>0</v>
      </c>
      <c r="AY24" s="92">
        <f t="shared" si="5"/>
        <v>0</v>
      </c>
      <c r="AZ24" s="97">
        <f t="shared" si="5"/>
        <v>0</v>
      </c>
      <c r="BA24" s="94">
        <f t="shared" si="5"/>
        <v>0</v>
      </c>
      <c r="BB24" s="97">
        <f t="shared" si="5"/>
        <v>0</v>
      </c>
      <c r="BC24" s="97">
        <f t="shared" si="7"/>
        <v>0</v>
      </c>
      <c r="BD24" s="79"/>
      <c r="BE24" s="79"/>
      <c r="BF24" s="79"/>
      <c r="BG24" s="80"/>
      <c r="BI24" s="81"/>
    </row>
    <row r="25" spans="1:90" ht="30" customHeight="1" outlineLevel="1" x14ac:dyDescent="0.15">
      <c r="A25" s="442"/>
      <c r="B25" s="98" t="s">
        <v>8</v>
      </c>
      <c r="C25" s="317"/>
      <c r="D25" s="321"/>
      <c r="E25" s="322"/>
      <c r="F25" s="323"/>
      <c r="G25" s="323"/>
      <c r="H25" s="323"/>
      <c r="I25" s="323"/>
      <c r="J25" s="331"/>
      <c r="K25" s="324"/>
      <c r="L25" s="325"/>
      <c r="M25" s="325"/>
      <c r="N25" s="325"/>
      <c r="O25" s="325"/>
      <c r="P25" s="189"/>
      <c r="Q25" s="322"/>
      <c r="R25" s="325"/>
      <c r="S25" s="325"/>
      <c r="T25" s="326"/>
      <c r="U25" s="331"/>
      <c r="V25" s="327"/>
      <c r="W25" s="328"/>
      <c r="X25" s="325"/>
      <c r="Y25" s="325"/>
      <c r="Z25" s="323"/>
      <c r="AA25" s="332"/>
      <c r="AB25" s="327"/>
      <c r="AC25" s="323"/>
      <c r="AD25" s="323"/>
      <c r="AE25" s="323"/>
      <c r="AF25" s="323"/>
      <c r="AG25" s="329"/>
      <c r="AH25" s="69"/>
      <c r="AI25" s="70"/>
      <c r="AJ25" s="70"/>
      <c r="AK25" s="71"/>
      <c r="AM25" s="72">
        <f t="shared" si="6"/>
        <v>0</v>
      </c>
      <c r="AN25" s="91">
        <f t="shared" si="5"/>
        <v>0</v>
      </c>
      <c r="AO25" s="92">
        <f t="shared" si="5"/>
        <v>0</v>
      </c>
      <c r="AP25" s="93">
        <f t="shared" si="5"/>
        <v>0</v>
      </c>
      <c r="AQ25" s="94">
        <f t="shared" si="5"/>
        <v>0</v>
      </c>
      <c r="AR25" s="95">
        <f t="shared" si="5"/>
        <v>0</v>
      </c>
      <c r="AS25" s="96">
        <f t="shared" si="5"/>
        <v>0</v>
      </c>
      <c r="AT25" s="92">
        <f t="shared" si="5"/>
        <v>0</v>
      </c>
      <c r="AU25" s="95">
        <f t="shared" si="5"/>
        <v>0</v>
      </c>
      <c r="AV25" s="95">
        <f t="shared" si="5"/>
        <v>0</v>
      </c>
      <c r="AW25" s="93">
        <f t="shared" si="5"/>
        <v>0</v>
      </c>
      <c r="AX25" s="96">
        <f t="shared" si="5"/>
        <v>0</v>
      </c>
      <c r="AY25" s="92">
        <f t="shared" si="5"/>
        <v>0</v>
      </c>
      <c r="AZ25" s="97">
        <f t="shared" si="5"/>
        <v>0</v>
      </c>
      <c r="BA25" s="94">
        <f t="shared" si="5"/>
        <v>0</v>
      </c>
      <c r="BB25" s="97">
        <f t="shared" si="5"/>
        <v>0</v>
      </c>
      <c r="BC25" s="97">
        <f t="shared" si="7"/>
        <v>0</v>
      </c>
      <c r="BD25" s="79"/>
      <c r="BE25" s="79"/>
      <c r="BF25" s="79"/>
      <c r="BG25" s="80"/>
      <c r="BI25" s="81"/>
    </row>
    <row r="26" spans="1:90" ht="30" customHeight="1" outlineLevel="1" x14ac:dyDescent="0.15">
      <c r="A26" s="442"/>
      <c r="B26" s="99" t="s">
        <v>30</v>
      </c>
      <c r="C26" s="317"/>
      <c r="D26" s="321"/>
      <c r="E26" s="322"/>
      <c r="F26" s="323"/>
      <c r="G26" s="323"/>
      <c r="H26" s="323"/>
      <c r="I26" s="323"/>
      <c r="J26" s="331"/>
      <c r="K26" s="324"/>
      <c r="L26" s="325"/>
      <c r="M26" s="325"/>
      <c r="N26" s="325"/>
      <c r="O26" s="325"/>
      <c r="P26" s="189"/>
      <c r="Q26" s="322"/>
      <c r="R26" s="325"/>
      <c r="S26" s="325"/>
      <c r="T26" s="326"/>
      <c r="U26" s="331"/>
      <c r="V26" s="327"/>
      <c r="W26" s="328"/>
      <c r="X26" s="325"/>
      <c r="Y26" s="325"/>
      <c r="Z26" s="323"/>
      <c r="AA26" s="332"/>
      <c r="AB26" s="327"/>
      <c r="AC26" s="323"/>
      <c r="AD26" s="323"/>
      <c r="AE26" s="323"/>
      <c r="AF26" s="323"/>
      <c r="AG26" s="329"/>
      <c r="AH26" s="69"/>
      <c r="AI26" s="70"/>
      <c r="AJ26" s="70"/>
      <c r="AK26" s="71"/>
      <c r="AM26" s="72">
        <f t="shared" si="6"/>
        <v>0</v>
      </c>
      <c r="AN26" s="91">
        <f t="shared" si="5"/>
        <v>0</v>
      </c>
      <c r="AO26" s="92">
        <f t="shared" si="5"/>
        <v>0</v>
      </c>
      <c r="AP26" s="93">
        <f t="shared" si="5"/>
        <v>0</v>
      </c>
      <c r="AQ26" s="94">
        <f t="shared" si="5"/>
        <v>0</v>
      </c>
      <c r="AR26" s="95">
        <f t="shared" si="5"/>
        <v>0</v>
      </c>
      <c r="AS26" s="96">
        <f t="shared" si="5"/>
        <v>0</v>
      </c>
      <c r="AT26" s="92">
        <f t="shared" si="5"/>
        <v>0</v>
      </c>
      <c r="AU26" s="95">
        <f t="shared" si="5"/>
        <v>0</v>
      </c>
      <c r="AV26" s="95">
        <f t="shared" si="5"/>
        <v>0</v>
      </c>
      <c r="AW26" s="93">
        <f t="shared" si="5"/>
        <v>0</v>
      </c>
      <c r="AX26" s="96">
        <f t="shared" si="5"/>
        <v>0</v>
      </c>
      <c r="AY26" s="92">
        <f t="shared" si="5"/>
        <v>0</v>
      </c>
      <c r="AZ26" s="97">
        <f t="shared" si="5"/>
        <v>0</v>
      </c>
      <c r="BA26" s="94">
        <f t="shared" si="5"/>
        <v>0</v>
      </c>
      <c r="BB26" s="97">
        <f t="shared" si="5"/>
        <v>0</v>
      </c>
      <c r="BC26" s="97">
        <f t="shared" si="7"/>
        <v>0</v>
      </c>
      <c r="BD26" s="79"/>
      <c r="BE26" s="79"/>
      <c r="BF26" s="79"/>
      <c r="BG26" s="80"/>
      <c r="BI26" s="81"/>
    </row>
    <row r="27" spans="1:90" ht="30" customHeight="1" outlineLevel="1" x14ac:dyDescent="0.15">
      <c r="A27" s="442"/>
      <c r="B27" s="82" t="s">
        <v>30</v>
      </c>
      <c r="C27" s="317"/>
      <c r="D27" s="321"/>
      <c r="E27" s="322"/>
      <c r="F27" s="323"/>
      <c r="G27" s="323"/>
      <c r="H27" s="323"/>
      <c r="I27" s="323"/>
      <c r="J27" s="331"/>
      <c r="K27" s="324"/>
      <c r="L27" s="325"/>
      <c r="M27" s="325"/>
      <c r="N27" s="325"/>
      <c r="O27" s="325"/>
      <c r="P27" s="189"/>
      <c r="Q27" s="322"/>
      <c r="R27" s="325"/>
      <c r="S27" s="325"/>
      <c r="T27" s="326"/>
      <c r="U27" s="331"/>
      <c r="V27" s="327"/>
      <c r="W27" s="328"/>
      <c r="X27" s="325"/>
      <c r="Y27" s="325"/>
      <c r="Z27" s="323"/>
      <c r="AA27" s="332"/>
      <c r="AB27" s="327"/>
      <c r="AC27" s="323"/>
      <c r="AD27" s="323"/>
      <c r="AE27" s="323"/>
      <c r="AF27" s="323"/>
      <c r="AG27" s="329"/>
      <c r="AH27" s="69"/>
      <c r="AI27" s="70"/>
      <c r="AJ27" s="70"/>
      <c r="AK27" s="71"/>
      <c r="AM27" s="72">
        <f t="shared" si="6"/>
        <v>0</v>
      </c>
      <c r="AN27" s="100">
        <f t="shared" si="5"/>
        <v>0</v>
      </c>
      <c r="AO27" s="101">
        <f t="shared" si="5"/>
        <v>0</v>
      </c>
      <c r="AP27" s="102">
        <f t="shared" si="5"/>
        <v>0</v>
      </c>
      <c r="AQ27" s="103">
        <f t="shared" si="5"/>
        <v>0</v>
      </c>
      <c r="AR27" s="104">
        <f t="shared" si="5"/>
        <v>0</v>
      </c>
      <c r="AS27" s="105">
        <f t="shared" si="5"/>
        <v>0</v>
      </c>
      <c r="AT27" s="101">
        <f t="shared" si="5"/>
        <v>0</v>
      </c>
      <c r="AU27" s="104">
        <f t="shared" si="5"/>
        <v>0</v>
      </c>
      <c r="AV27" s="104">
        <f t="shared" si="5"/>
        <v>0</v>
      </c>
      <c r="AW27" s="102">
        <f t="shared" si="5"/>
        <v>0</v>
      </c>
      <c r="AX27" s="105">
        <f t="shared" si="5"/>
        <v>0</v>
      </c>
      <c r="AY27" s="101">
        <f t="shared" si="5"/>
        <v>0</v>
      </c>
      <c r="AZ27" s="106">
        <f t="shared" si="5"/>
        <v>0</v>
      </c>
      <c r="BA27" s="103">
        <f t="shared" si="5"/>
        <v>0</v>
      </c>
      <c r="BB27" s="106">
        <f t="shared" si="5"/>
        <v>0</v>
      </c>
      <c r="BC27" s="106">
        <f t="shared" si="7"/>
        <v>0</v>
      </c>
      <c r="BD27" s="79"/>
      <c r="BE27" s="79"/>
      <c r="BF27" s="79"/>
      <c r="BG27" s="80"/>
      <c r="BI27" s="81"/>
    </row>
    <row r="28" spans="1:90" ht="30" customHeight="1" outlineLevel="1" x14ac:dyDescent="0.15">
      <c r="A28" s="442"/>
      <c r="B28" s="82" t="s">
        <v>30</v>
      </c>
      <c r="C28" s="317"/>
      <c r="D28" s="330"/>
      <c r="E28" s="322"/>
      <c r="F28" s="323"/>
      <c r="G28" s="323"/>
      <c r="H28" s="323"/>
      <c r="I28" s="323"/>
      <c r="J28" s="331"/>
      <c r="K28" s="324"/>
      <c r="L28" s="325"/>
      <c r="M28" s="325"/>
      <c r="N28" s="325"/>
      <c r="O28" s="325"/>
      <c r="P28" s="189"/>
      <c r="Q28" s="322"/>
      <c r="R28" s="325"/>
      <c r="S28" s="325"/>
      <c r="T28" s="326"/>
      <c r="U28" s="331"/>
      <c r="V28" s="327"/>
      <c r="W28" s="328"/>
      <c r="X28" s="325"/>
      <c r="Y28" s="325"/>
      <c r="Z28" s="323"/>
      <c r="AA28" s="332"/>
      <c r="AB28" s="327"/>
      <c r="AC28" s="323"/>
      <c r="AD28" s="323"/>
      <c r="AE28" s="323"/>
      <c r="AF28" s="323"/>
      <c r="AG28" s="329"/>
      <c r="AH28" s="69"/>
      <c r="AI28" s="70"/>
      <c r="AJ28" s="70"/>
      <c r="AK28" s="71"/>
      <c r="AM28" s="72">
        <f t="shared" si="6"/>
        <v>0</v>
      </c>
      <c r="AN28" s="100">
        <f t="shared" si="5"/>
        <v>0</v>
      </c>
      <c r="AO28" s="101">
        <f t="shared" si="5"/>
        <v>0</v>
      </c>
      <c r="AP28" s="102">
        <f t="shared" si="5"/>
        <v>0</v>
      </c>
      <c r="AQ28" s="103">
        <f t="shared" si="5"/>
        <v>0</v>
      </c>
      <c r="AR28" s="104">
        <f t="shared" si="5"/>
        <v>0</v>
      </c>
      <c r="AS28" s="105">
        <f t="shared" si="5"/>
        <v>0</v>
      </c>
      <c r="AT28" s="101">
        <f t="shared" si="5"/>
        <v>0</v>
      </c>
      <c r="AU28" s="104">
        <f t="shared" si="5"/>
        <v>0</v>
      </c>
      <c r="AV28" s="104">
        <f t="shared" si="5"/>
        <v>0</v>
      </c>
      <c r="AW28" s="102">
        <f t="shared" si="5"/>
        <v>0</v>
      </c>
      <c r="AX28" s="105">
        <f t="shared" si="5"/>
        <v>0</v>
      </c>
      <c r="AY28" s="101">
        <f t="shared" si="5"/>
        <v>0</v>
      </c>
      <c r="AZ28" s="106">
        <f t="shared" si="5"/>
        <v>0</v>
      </c>
      <c r="BA28" s="103">
        <f t="shared" si="5"/>
        <v>0</v>
      </c>
      <c r="BB28" s="106">
        <f t="shared" si="5"/>
        <v>0</v>
      </c>
      <c r="BC28" s="106">
        <f t="shared" si="7"/>
        <v>0</v>
      </c>
      <c r="BD28" s="79"/>
      <c r="BE28" s="79"/>
      <c r="BF28" s="79"/>
      <c r="BG28" s="80"/>
      <c r="BI28" s="81"/>
    </row>
    <row r="29" spans="1:90" ht="30" customHeight="1" x14ac:dyDescent="0.15">
      <c r="A29" s="442"/>
      <c r="B29" s="82" t="s">
        <v>30</v>
      </c>
      <c r="C29" s="317"/>
      <c r="D29" s="330"/>
      <c r="E29" s="322"/>
      <c r="F29" s="323"/>
      <c r="G29" s="323"/>
      <c r="H29" s="323"/>
      <c r="I29" s="323"/>
      <c r="J29" s="331"/>
      <c r="K29" s="324"/>
      <c r="L29" s="325"/>
      <c r="M29" s="325"/>
      <c r="N29" s="325"/>
      <c r="O29" s="325"/>
      <c r="P29" s="333"/>
      <c r="Q29" s="322"/>
      <c r="R29" s="325"/>
      <c r="S29" s="325"/>
      <c r="T29" s="326"/>
      <c r="U29" s="331"/>
      <c r="V29" s="327"/>
      <c r="W29" s="328"/>
      <c r="X29" s="325"/>
      <c r="Y29" s="325"/>
      <c r="Z29" s="334"/>
      <c r="AA29" s="335"/>
      <c r="AB29" s="327"/>
      <c r="AC29" s="323"/>
      <c r="AD29" s="323"/>
      <c r="AE29" s="323"/>
      <c r="AF29" s="323"/>
      <c r="AG29" s="329"/>
      <c r="AH29" s="69"/>
      <c r="AI29" s="70"/>
      <c r="AJ29" s="70"/>
      <c r="AK29" s="71"/>
      <c r="AM29" s="72">
        <f t="shared" si="6"/>
        <v>0</v>
      </c>
      <c r="AN29" s="100">
        <f t="shared" si="5"/>
        <v>0</v>
      </c>
      <c r="AO29" s="101">
        <f t="shared" si="5"/>
        <v>0</v>
      </c>
      <c r="AP29" s="102">
        <f t="shared" si="5"/>
        <v>0</v>
      </c>
      <c r="AQ29" s="103">
        <f t="shared" si="5"/>
        <v>0</v>
      </c>
      <c r="AR29" s="104">
        <f t="shared" si="5"/>
        <v>0</v>
      </c>
      <c r="AS29" s="105">
        <f t="shared" si="5"/>
        <v>0</v>
      </c>
      <c r="AT29" s="101">
        <f t="shared" si="5"/>
        <v>0</v>
      </c>
      <c r="AU29" s="104">
        <f t="shared" si="5"/>
        <v>0</v>
      </c>
      <c r="AV29" s="104">
        <f t="shared" si="5"/>
        <v>0</v>
      </c>
      <c r="AW29" s="102">
        <f t="shared" si="5"/>
        <v>0</v>
      </c>
      <c r="AX29" s="105">
        <f t="shared" si="5"/>
        <v>0</v>
      </c>
      <c r="AY29" s="101">
        <f t="shared" si="5"/>
        <v>0</v>
      </c>
      <c r="AZ29" s="106">
        <f t="shared" si="5"/>
        <v>0</v>
      </c>
      <c r="BA29" s="103">
        <f t="shared" si="5"/>
        <v>0</v>
      </c>
      <c r="BB29" s="106">
        <f t="shared" si="5"/>
        <v>0</v>
      </c>
      <c r="BC29" s="106">
        <f t="shared" si="7"/>
        <v>0</v>
      </c>
      <c r="BD29" s="79"/>
      <c r="BE29" s="79"/>
      <c r="BF29" s="79"/>
      <c r="BG29" s="80"/>
      <c r="BI29" s="81"/>
    </row>
    <row r="30" spans="1:90" ht="30" customHeight="1" thickBot="1" x14ac:dyDescent="0.2">
      <c r="A30" s="442"/>
      <c r="B30" s="82" t="s">
        <v>30</v>
      </c>
      <c r="C30" s="317"/>
      <c r="D30" s="330"/>
      <c r="E30" s="206"/>
      <c r="F30" s="323"/>
      <c r="G30" s="323"/>
      <c r="H30" s="323"/>
      <c r="I30" s="323"/>
      <c r="J30" s="331"/>
      <c r="K30" s="206"/>
      <c r="L30" s="325"/>
      <c r="M30" s="325"/>
      <c r="N30" s="325"/>
      <c r="O30" s="325"/>
      <c r="P30" s="107"/>
      <c r="Q30" s="206"/>
      <c r="R30" s="325"/>
      <c r="S30" s="325"/>
      <c r="T30" s="326"/>
      <c r="U30" s="331"/>
      <c r="V30" s="209"/>
      <c r="W30" s="328"/>
      <c r="X30" s="325"/>
      <c r="Y30" s="325"/>
      <c r="Z30" s="207"/>
      <c r="AA30" s="208"/>
      <c r="AB30" s="209"/>
      <c r="AC30" s="323"/>
      <c r="AD30" s="323"/>
      <c r="AE30" s="323"/>
      <c r="AF30" s="323"/>
      <c r="AG30" s="329"/>
      <c r="AH30" s="69"/>
      <c r="AI30" s="70"/>
      <c r="AJ30" s="70"/>
      <c r="AK30" s="71"/>
      <c r="AM30" s="72">
        <f t="shared" si="6"/>
        <v>0</v>
      </c>
      <c r="AN30" s="108">
        <f t="shared" si="5"/>
        <v>0</v>
      </c>
      <c r="AO30" s="109">
        <f t="shared" si="5"/>
        <v>0</v>
      </c>
      <c r="AP30" s="110">
        <f t="shared" si="5"/>
        <v>0</v>
      </c>
      <c r="AQ30" s="111">
        <f t="shared" si="5"/>
        <v>0</v>
      </c>
      <c r="AR30" s="112">
        <f t="shared" si="5"/>
        <v>0</v>
      </c>
      <c r="AS30" s="113">
        <f t="shared" si="5"/>
        <v>0</v>
      </c>
      <c r="AT30" s="109">
        <f t="shared" si="5"/>
        <v>0</v>
      </c>
      <c r="AU30" s="112">
        <f t="shared" si="5"/>
        <v>0</v>
      </c>
      <c r="AV30" s="112">
        <f t="shared" si="5"/>
        <v>0</v>
      </c>
      <c r="AW30" s="110">
        <f t="shared" si="5"/>
        <v>0</v>
      </c>
      <c r="AX30" s="113">
        <f t="shared" si="5"/>
        <v>0</v>
      </c>
      <c r="AY30" s="109">
        <f t="shared" si="5"/>
        <v>0</v>
      </c>
      <c r="AZ30" s="114">
        <f t="shared" si="5"/>
        <v>0</v>
      </c>
      <c r="BA30" s="111">
        <f t="shared" si="5"/>
        <v>0</v>
      </c>
      <c r="BB30" s="114">
        <f t="shared" si="5"/>
        <v>0</v>
      </c>
      <c r="BC30" s="114">
        <f t="shared" si="7"/>
        <v>0</v>
      </c>
      <c r="BD30" s="79"/>
      <c r="BE30" s="79"/>
      <c r="BF30" s="79"/>
      <c r="BG30" s="80"/>
      <c r="BI30" s="81"/>
    </row>
    <row r="31" spans="1:90" ht="30" customHeight="1" x14ac:dyDescent="0.15">
      <c r="A31" s="441" t="s">
        <v>31</v>
      </c>
      <c r="B31" s="115" t="s">
        <v>4</v>
      </c>
      <c r="C31" s="116"/>
      <c r="D31" s="117"/>
      <c r="E31" s="118"/>
      <c r="F31" s="119"/>
      <c r="G31" s="119"/>
      <c r="H31" s="119"/>
      <c r="I31" s="119"/>
      <c r="J31" s="223"/>
      <c r="K31" s="118"/>
      <c r="L31" s="120"/>
      <c r="M31" s="120"/>
      <c r="N31" s="120"/>
      <c r="O31" s="120"/>
      <c r="P31" s="121"/>
      <c r="Q31" s="122"/>
      <c r="R31" s="120"/>
      <c r="S31" s="120"/>
      <c r="T31" s="123"/>
      <c r="U31" s="223"/>
      <c r="V31" s="124"/>
      <c r="W31" s="125"/>
      <c r="X31" s="120"/>
      <c r="Y31" s="120"/>
      <c r="Z31" s="119"/>
      <c r="AA31" s="126"/>
      <c r="AB31" s="124"/>
      <c r="AC31" s="119"/>
      <c r="AD31" s="119"/>
      <c r="AE31" s="119"/>
      <c r="AF31" s="119"/>
      <c r="AG31" s="127"/>
      <c r="AH31" s="128"/>
      <c r="AI31" s="129"/>
      <c r="AJ31" s="129"/>
      <c r="AK31" s="130"/>
      <c r="AM31" s="72">
        <f t="shared" si="6"/>
        <v>0</v>
      </c>
      <c r="AN31" s="73">
        <f t="shared" ref="AN31:BB40" si="8">COUNTIF($E31:$AK31,"*"&amp;AN$66&amp;"*")</f>
        <v>0</v>
      </c>
      <c r="AO31" s="76">
        <f t="shared" si="8"/>
        <v>0</v>
      </c>
      <c r="AP31" s="77">
        <f t="shared" si="8"/>
        <v>0</v>
      </c>
      <c r="AQ31" s="131">
        <f t="shared" si="8"/>
        <v>0</v>
      </c>
      <c r="AR31" s="74">
        <f t="shared" si="8"/>
        <v>0</v>
      </c>
      <c r="AS31" s="75">
        <f t="shared" si="8"/>
        <v>0</v>
      </c>
      <c r="AT31" s="76">
        <f t="shared" si="8"/>
        <v>0</v>
      </c>
      <c r="AU31" s="74">
        <f t="shared" si="8"/>
        <v>0</v>
      </c>
      <c r="AV31" s="74">
        <f t="shared" si="8"/>
        <v>0</v>
      </c>
      <c r="AW31" s="77">
        <f t="shared" si="8"/>
        <v>0</v>
      </c>
      <c r="AX31" s="75">
        <f t="shared" si="8"/>
        <v>0</v>
      </c>
      <c r="AY31" s="76">
        <f t="shared" si="8"/>
        <v>0</v>
      </c>
      <c r="AZ31" s="78">
        <f t="shared" si="8"/>
        <v>0</v>
      </c>
      <c r="BA31" s="131">
        <f t="shared" si="8"/>
        <v>0</v>
      </c>
      <c r="BB31" s="78">
        <f t="shared" si="8"/>
        <v>0</v>
      </c>
      <c r="BC31" s="78">
        <f t="shared" si="7"/>
        <v>0</v>
      </c>
      <c r="BD31" s="79"/>
      <c r="BE31" s="79"/>
      <c r="BF31" s="79"/>
      <c r="BG31" s="80"/>
      <c r="BI31" s="81"/>
    </row>
    <row r="32" spans="1:90" ht="30" customHeight="1" x14ac:dyDescent="0.15">
      <c r="A32" s="442"/>
      <c r="B32" s="132" t="s">
        <v>28</v>
      </c>
      <c r="C32" s="336"/>
      <c r="D32" s="337"/>
      <c r="E32" s="338"/>
      <c r="F32" s="339"/>
      <c r="G32" s="339"/>
      <c r="H32" s="339"/>
      <c r="I32" s="339"/>
      <c r="J32" s="340"/>
      <c r="K32" s="338"/>
      <c r="L32" s="341"/>
      <c r="M32" s="341"/>
      <c r="N32" s="341"/>
      <c r="O32" s="341"/>
      <c r="P32" s="189"/>
      <c r="Q32" s="322"/>
      <c r="R32" s="341"/>
      <c r="S32" s="341"/>
      <c r="T32" s="326"/>
      <c r="U32" s="340"/>
      <c r="V32" s="342"/>
      <c r="W32" s="328"/>
      <c r="X32" s="341"/>
      <c r="Y32" s="341"/>
      <c r="Z32" s="339"/>
      <c r="AA32" s="332"/>
      <c r="AB32" s="342"/>
      <c r="AC32" s="339"/>
      <c r="AD32" s="339"/>
      <c r="AE32" s="339"/>
      <c r="AF32" s="339"/>
      <c r="AG32" s="343"/>
      <c r="AH32" s="69"/>
      <c r="AI32" s="70"/>
      <c r="AJ32" s="70"/>
      <c r="AK32" s="71"/>
      <c r="AM32" s="72">
        <f t="shared" si="6"/>
        <v>0</v>
      </c>
      <c r="AN32" s="91">
        <f t="shared" si="8"/>
        <v>0</v>
      </c>
      <c r="AO32" s="92">
        <f t="shared" si="8"/>
        <v>0</v>
      </c>
      <c r="AP32" s="93">
        <f t="shared" si="8"/>
        <v>0</v>
      </c>
      <c r="AQ32" s="94">
        <f t="shared" si="8"/>
        <v>0</v>
      </c>
      <c r="AR32" s="95">
        <f t="shared" si="8"/>
        <v>0</v>
      </c>
      <c r="AS32" s="96">
        <f t="shared" si="8"/>
        <v>0</v>
      </c>
      <c r="AT32" s="92">
        <f t="shared" si="8"/>
        <v>0</v>
      </c>
      <c r="AU32" s="95">
        <f t="shared" si="8"/>
        <v>0</v>
      </c>
      <c r="AV32" s="95">
        <f t="shared" si="8"/>
        <v>0</v>
      </c>
      <c r="AW32" s="93">
        <f t="shared" si="8"/>
        <v>0</v>
      </c>
      <c r="AX32" s="96">
        <f t="shared" si="8"/>
        <v>0</v>
      </c>
      <c r="AY32" s="92">
        <f t="shared" si="8"/>
        <v>0</v>
      </c>
      <c r="AZ32" s="97">
        <f t="shared" si="8"/>
        <v>0</v>
      </c>
      <c r="BA32" s="94">
        <f t="shared" si="8"/>
        <v>0</v>
      </c>
      <c r="BB32" s="97">
        <f t="shared" si="8"/>
        <v>0</v>
      </c>
      <c r="BC32" s="97">
        <f t="shared" si="7"/>
        <v>0</v>
      </c>
      <c r="BD32" s="79"/>
      <c r="BE32" s="79"/>
      <c r="BF32" s="79"/>
      <c r="BG32" s="80"/>
      <c r="BI32" s="81"/>
    </row>
    <row r="33" spans="1:61" ht="30" customHeight="1" x14ac:dyDescent="0.15">
      <c r="A33" s="442"/>
      <c r="B33" s="68" t="s">
        <v>29</v>
      </c>
      <c r="C33" s="344"/>
      <c r="D33" s="188"/>
      <c r="E33" s="338"/>
      <c r="F33" s="339"/>
      <c r="G33" s="339"/>
      <c r="H33" s="339"/>
      <c r="I33" s="339"/>
      <c r="J33" s="340"/>
      <c r="K33" s="338"/>
      <c r="L33" s="341"/>
      <c r="M33" s="341"/>
      <c r="N33" s="341"/>
      <c r="O33" s="341"/>
      <c r="P33" s="189"/>
      <c r="Q33" s="322"/>
      <c r="R33" s="341"/>
      <c r="S33" s="341"/>
      <c r="T33" s="326"/>
      <c r="U33" s="340"/>
      <c r="V33" s="342"/>
      <c r="W33" s="328"/>
      <c r="X33" s="341"/>
      <c r="Y33" s="341"/>
      <c r="Z33" s="339"/>
      <c r="AA33" s="341"/>
      <c r="AB33" s="342"/>
      <c r="AC33" s="339"/>
      <c r="AD33" s="339"/>
      <c r="AE33" s="339"/>
      <c r="AF33" s="339"/>
      <c r="AG33" s="343"/>
      <c r="AH33" s="69"/>
      <c r="AI33" s="70"/>
      <c r="AJ33" s="70"/>
      <c r="AK33" s="71"/>
      <c r="AM33" s="72">
        <f t="shared" si="6"/>
        <v>0</v>
      </c>
      <c r="AN33" s="133">
        <f t="shared" si="8"/>
        <v>0</v>
      </c>
      <c r="AO33" s="134">
        <f t="shared" si="8"/>
        <v>0</v>
      </c>
      <c r="AP33" s="135">
        <f t="shared" si="8"/>
        <v>0</v>
      </c>
      <c r="AQ33" s="136">
        <f t="shared" si="8"/>
        <v>0</v>
      </c>
      <c r="AR33" s="137">
        <f t="shared" si="8"/>
        <v>0</v>
      </c>
      <c r="AS33" s="138">
        <f t="shared" si="8"/>
        <v>0</v>
      </c>
      <c r="AT33" s="134">
        <f t="shared" si="8"/>
        <v>0</v>
      </c>
      <c r="AU33" s="137">
        <f t="shared" si="8"/>
        <v>0</v>
      </c>
      <c r="AV33" s="137">
        <f t="shared" si="8"/>
        <v>0</v>
      </c>
      <c r="AW33" s="135">
        <f t="shared" si="8"/>
        <v>0</v>
      </c>
      <c r="AX33" s="138">
        <f t="shared" si="8"/>
        <v>0</v>
      </c>
      <c r="AY33" s="134">
        <f t="shared" si="8"/>
        <v>0</v>
      </c>
      <c r="AZ33" s="139">
        <f t="shared" si="8"/>
        <v>0</v>
      </c>
      <c r="BA33" s="136">
        <f t="shared" si="8"/>
        <v>0</v>
      </c>
      <c r="BB33" s="139">
        <f t="shared" si="8"/>
        <v>0</v>
      </c>
      <c r="BC33" s="139">
        <f t="shared" si="7"/>
        <v>0</v>
      </c>
      <c r="BD33" s="79"/>
      <c r="BE33" s="79"/>
      <c r="BF33" s="79"/>
      <c r="BG33" s="80"/>
      <c r="BI33" s="81"/>
    </row>
    <row r="34" spans="1:61" ht="30" customHeight="1" outlineLevel="1" x14ac:dyDescent="0.15">
      <c r="A34" s="442"/>
      <c r="B34" s="132" t="s">
        <v>32</v>
      </c>
      <c r="C34" s="344"/>
      <c r="D34" s="188"/>
      <c r="E34" s="338"/>
      <c r="F34" s="339"/>
      <c r="G34" s="339"/>
      <c r="H34" s="339"/>
      <c r="I34" s="339"/>
      <c r="J34" s="340"/>
      <c r="K34" s="338"/>
      <c r="L34" s="341"/>
      <c r="M34" s="341"/>
      <c r="N34" s="341"/>
      <c r="O34" s="341"/>
      <c r="P34" s="189"/>
      <c r="Q34" s="322"/>
      <c r="R34" s="341"/>
      <c r="S34" s="341"/>
      <c r="T34" s="326"/>
      <c r="U34" s="340"/>
      <c r="V34" s="342"/>
      <c r="W34" s="328"/>
      <c r="X34" s="341"/>
      <c r="Y34" s="341"/>
      <c r="Z34" s="339"/>
      <c r="AA34" s="332"/>
      <c r="AB34" s="342"/>
      <c r="AC34" s="339"/>
      <c r="AD34" s="339"/>
      <c r="AE34" s="339"/>
      <c r="AF34" s="339"/>
      <c r="AG34" s="343"/>
      <c r="AH34" s="69"/>
      <c r="AI34" s="70"/>
      <c r="AJ34" s="70"/>
      <c r="AK34" s="71"/>
      <c r="AM34" s="72">
        <f t="shared" si="6"/>
        <v>0</v>
      </c>
      <c r="AN34" s="140">
        <f t="shared" si="8"/>
        <v>0</v>
      </c>
      <c r="AO34" s="141">
        <f t="shared" si="8"/>
        <v>0</v>
      </c>
      <c r="AP34" s="142">
        <f t="shared" si="8"/>
        <v>0</v>
      </c>
      <c r="AQ34" s="136">
        <f t="shared" si="8"/>
        <v>0</v>
      </c>
      <c r="AR34" s="137">
        <f t="shared" si="8"/>
        <v>0</v>
      </c>
      <c r="AS34" s="138">
        <f t="shared" si="8"/>
        <v>0</v>
      </c>
      <c r="AT34" s="134">
        <f t="shared" si="8"/>
        <v>0</v>
      </c>
      <c r="AU34" s="137">
        <f t="shared" si="8"/>
        <v>0</v>
      </c>
      <c r="AV34" s="137">
        <f t="shared" si="8"/>
        <v>0</v>
      </c>
      <c r="AW34" s="135">
        <f t="shared" si="8"/>
        <v>0</v>
      </c>
      <c r="AX34" s="138">
        <f t="shared" si="8"/>
        <v>0</v>
      </c>
      <c r="AY34" s="134">
        <f t="shared" si="8"/>
        <v>0</v>
      </c>
      <c r="AZ34" s="139">
        <f t="shared" si="8"/>
        <v>0</v>
      </c>
      <c r="BA34" s="136">
        <f t="shared" si="8"/>
        <v>0</v>
      </c>
      <c r="BB34" s="139">
        <f t="shared" si="8"/>
        <v>0</v>
      </c>
      <c r="BC34" s="139">
        <f t="shared" si="7"/>
        <v>0</v>
      </c>
      <c r="BD34" s="79"/>
      <c r="BE34" s="79"/>
      <c r="BF34" s="79"/>
      <c r="BG34" s="80"/>
      <c r="BI34" s="81"/>
    </row>
    <row r="35" spans="1:61" ht="30" customHeight="1" outlineLevel="1" x14ac:dyDescent="0.15">
      <c r="A35" s="442"/>
      <c r="B35" s="143" t="s">
        <v>33</v>
      </c>
      <c r="C35" s="344"/>
      <c r="D35" s="188"/>
      <c r="E35" s="338"/>
      <c r="F35" s="339"/>
      <c r="G35" s="339"/>
      <c r="H35" s="339"/>
      <c r="I35" s="339"/>
      <c r="J35" s="340"/>
      <c r="K35" s="338"/>
      <c r="L35" s="341"/>
      <c r="M35" s="341"/>
      <c r="N35" s="341"/>
      <c r="O35" s="341"/>
      <c r="P35" s="189"/>
      <c r="Q35" s="322"/>
      <c r="R35" s="341"/>
      <c r="S35" s="341"/>
      <c r="T35" s="326"/>
      <c r="U35" s="340"/>
      <c r="V35" s="342"/>
      <c r="W35" s="328"/>
      <c r="X35" s="341"/>
      <c r="Y35" s="341"/>
      <c r="Z35" s="339"/>
      <c r="AA35" s="332"/>
      <c r="AB35" s="342"/>
      <c r="AC35" s="339"/>
      <c r="AD35" s="339"/>
      <c r="AE35" s="339"/>
      <c r="AF35" s="339"/>
      <c r="AG35" s="343"/>
      <c r="AH35" s="69"/>
      <c r="AI35" s="70"/>
      <c r="AJ35" s="70"/>
      <c r="AK35" s="71"/>
      <c r="AM35" s="72">
        <f t="shared" si="6"/>
        <v>0</v>
      </c>
      <c r="AN35" s="140">
        <f t="shared" si="8"/>
        <v>0</v>
      </c>
      <c r="AO35" s="144">
        <f t="shared" si="8"/>
        <v>0</v>
      </c>
      <c r="AP35" s="145">
        <f t="shared" si="8"/>
        <v>0</v>
      </c>
      <c r="AQ35" s="136">
        <f t="shared" si="8"/>
        <v>0</v>
      </c>
      <c r="AR35" s="146">
        <f t="shared" si="8"/>
        <v>0</v>
      </c>
      <c r="AS35" s="147">
        <f t="shared" si="8"/>
        <v>0</v>
      </c>
      <c r="AT35" s="144">
        <f t="shared" si="8"/>
        <v>0</v>
      </c>
      <c r="AU35" s="146">
        <f t="shared" si="8"/>
        <v>0</v>
      </c>
      <c r="AV35" s="146">
        <f t="shared" si="8"/>
        <v>0</v>
      </c>
      <c r="AW35" s="142">
        <f t="shared" si="8"/>
        <v>0</v>
      </c>
      <c r="AX35" s="147">
        <f t="shared" si="8"/>
        <v>0</v>
      </c>
      <c r="AY35" s="144">
        <f t="shared" si="8"/>
        <v>0</v>
      </c>
      <c r="AZ35" s="148">
        <f t="shared" si="8"/>
        <v>0</v>
      </c>
      <c r="BA35" s="136">
        <f t="shared" si="8"/>
        <v>0</v>
      </c>
      <c r="BB35" s="148">
        <f t="shared" si="8"/>
        <v>0</v>
      </c>
      <c r="BC35" s="148">
        <f t="shared" si="7"/>
        <v>0</v>
      </c>
      <c r="BD35" s="79"/>
      <c r="BE35" s="79"/>
      <c r="BF35" s="79"/>
      <c r="BG35" s="80"/>
      <c r="BI35" s="81"/>
    </row>
    <row r="36" spans="1:61" ht="30" customHeight="1" outlineLevel="1" x14ac:dyDescent="0.15">
      <c r="A36" s="442"/>
      <c r="B36" s="149" t="s">
        <v>30</v>
      </c>
      <c r="C36" s="344"/>
      <c r="D36" s="188"/>
      <c r="E36" s="338"/>
      <c r="F36" s="339"/>
      <c r="G36" s="339"/>
      <c r="H36" s="339"/>
      <c r="I36" s="339"/>
      <c r="J36" s="340"/>
      <c r="K36" s="338"/>
      <c r="L36" s="341"/>
      <c r="M36" s="341"/>
      <c r="N36" s="341"/>
      <c r="O36" s="341"/>
      <c r="P36" s="189"/>
      <c r="Q36" s="322"/>
      <c r="R36" s="341"/>
      <c r="S36" s="341"/>
      <c r="T36" s="326"/>
      <c r="U36" s="340"/>
      <c r="V36" s="342"/>
      <c r="W36" s="328"/>
      <c r="X36" s="341"/>
      <c r="Y36" s="341"/>
      <c r="Z36" s="339"/>
      <c r="AA36" s="332"/>
      <c r="AB36" s="342"/>
      <c r="AC36" s="339"/>
      <c r="AD36" s="339"/>
      <c r="AE36" s="339"/>
      <c r="AF36" s="339"/>
      <c r="AG36" s="343"/>
      <c r="AH36" s="69"/>
      <c r="AI36" s="70"/>
      <c r="AJ36" s="70"/>
      <c r="AK36" s="71"/>
      <c r="AM36" s="72">
        <f t="shared" si="6"/>
        <v>0</v>
      </c>
      <c r="AN36" s="140">
        <f t="shared" si="8"/>
        <v>0</v>
      </c>
      <c r="AO36" s="150">
        <f t="shared" si="8"/>
        <v>0</v>
      </c>
      <c r="AP36" s="151">
        <f t="shared" si="8"/>
        <v>0</v>
      </c>
      <c r="AQ36" s="136">
        <f t="shared" si="8"/>
        <v>0</v>
      </c>
      <c r="AR36" s="152">
        <f t="shared" si="8"/>
        <v>0</v>
      </c>
      <c r="AS36" s="147">
        <f t="shared" si="8"/>
        <v>0</v>
      </c>
      <c r="AT36" s="150">
        <f t="shared" si="8"/>
        <v>0</v>
      </c>
      <c r="AU36" s="152">
        <f t="shared" si="8"/>
        <v>0</v>
      </c>
      <c r="AV36" s="152">
        <f t="shared" si="8"/>
        <v>0</v>
      </c>
      <c r="AW36" s="151">
        <f t="shared" si="8"/>
        <v>0</v>
      </c>
      <c r="AX36" s="147">
        <f t="shared" si="8"/>
        <v>0</v>
      </c>
      <c r="AY36" s="150">
        <f t="shared" si="8"/>
        <v>0</v>
      </c>
      <c r="AZ36" s="153">
        <f t="shared" si="8"/>
        <v>0</v>
      </c>
      <c r="BA36" s="136">
        <f t="shared" si="8"/>
        <v>0</v>
      </c>
      <c r="BB36" s="153">
        <f t="shared" si="8"/>
        <v>0</v>
      </c>
      <c r="BC36" s="153">
        <f t="shared" si="7"/>
        <v>0</v>
      </c>
      <c r="BD36" s="79"/>
      <c r="BE36" s="79"/>
      <c r="BF36" s="79"/>
      <c r="BG36" s="80"/>
      <c r="BI36" s="81"/>
    </row>
    <row r="37" spans="1:61" ht="30" customHeight="1" outlineLevel="1" x14ac:dyDescent="0.15">
      <c r="A37" s="442"/>
      <c r="B37" s="82" t="s">
        <v>30</v>
      </c>
      <c r="C37" s="317"/>
      <c r="D37" s="337"/>
      <c r="E37" s="338"/>
      <c r="F37" s="339"/>
      <c r="G37" s="339"/>
      <c r="H37" s="339"/>
      <c r="I37" s="339"/>
      <c r="J37" s="340"/>
      <c r="K37" s="338"/>
      <c r="L37" s="341"/>
      <c r="M37" s="341"/>
      <c r="N37" s="341"/>
      <c r="O37" s="341"/>
      <c r="P37" s="189"/>
      <c r="Q37" s="322"/>
      <c r="R37" s="341"/>
      <c r="S37" s="341"/>
      <c r="T37" s="326"/>
      <c r="U37" s="340"/>
      <c r="V37" s="342"/>
      <c r="W37" s="328"/>
      <c r="X37" s="341"/>
      <c r="Y37" s="341"/>
      <c r="Z37" s="339"/>
      <c r="AA37" s="332"/>
      <c r="AB37" s="342"/>
      <c r="AC37" s="339"/>
      <c r="AD37" s="339"/>
      <c r="AE37" s="339"/>
      <c r="AF37" s="339"/>
      <c r="AG37" s="343"/>
      <c r="AH37" s="69"/>
      <c r="AI37" s="70"/>
      <c r="AJ37" s="70"/>
      <c r="AK37" s="71"/>
      <c r="AM37" s="72">
        <f t="shared" si="6"/>
        <v>0</v>
      </c>
      <c r="AN37" s="91">
        <f t="shared" si="8"/>
        <v>0</v>
      </c>
      <c r="AO37" s="92">
        <f t="shared" si="8"/>
        <v>0</v>
      </c>
      <c r="AP37" s="93">
        <f t="shared" si="8"/>
        <v>0</v>
      </c>
      <c r="AQ37" s="94">
        <f t="shared" si="8"/>
        <v>0</v>
      </c>
      <c r="AR37" s="95">
        <f t="shared" si="8"/>
        <v>0</v>
      </c>
      <c r="AS37" s="96">
        <f t="shared" si="8"/>
        <v>0</v>
      </c>
      <c r="AT37" s="92">
        <f t="shared" si="8"/>
        <v>0</v>
      </c>
      <c r="AU37" s="95">
        <f t="shared" si="8"/>
        <v>0</v>
      </c>
      <c r="AV37" s="95">
        <f t="shared" si="8"/>
        <v>0</v>
      </c>
      <c r="AW37" s="93">
        <f t="shared" si="8"/>
        <v>0</v>
      </c>
      <c r="AX37" s="96">
        <f t="shared" si="8"/>
        <v>0</v>
      </c>
      <c r="AY37" s="92">
        <f t="shared" si="8"/>
        <v>0</v>
      </c>
      <c r="AZ37" s="97">
        <f t="shared" si="8"/>
        <v>0</v>
      </c>
      <c r="BA37" s="94">
        <f t="shared" si="8"/>
        <v>0</v>
      </c>
      <c r="BB37" s="97">
        <f t="shared" si="8"/>
        <v>0</v>
      </c>
      <c r="BC37" s="97">
        <f t="shared" si="7"/>
        <v>0</v>
      </c>
      <c r="BD37" s="79"/>
      <c r="BE37" s="79"/>
      <c r="BF37" s="79"/>
      <c r="BG37" s="80"/>
      <c r="BI37" s="81"/>
    </row>
    <row r="38" spans="1:61" ht="30" customHeight="1" outlineLevel="1" x14ac:dyDescent="0.15">
      <c r="A38" s="442"/>
      <c r="B38" s="154" t="s">
        <v>30</v>
      </c>
      <c r="C38" s="317"/>
      <c r="D38" s="345"/>
      <c r="E38" s="338"/>
      <c r="F38" s="339"/>
      <c r="G38" s="339"/>
      <c r="H38" s="339"/>
      <c r="I38" s="339"/>
      <c r="J38" s="340"/>
      <c r="K38" s="338"/>
      <c r="L38" s="341"/>
      <c r="M38" s="341"/>
      <c r="N38" s="341"/>
      <c r="O38" s="341"/>
      <c r="P38" s="189"/>
      <c r="Q38" s="322"/>
      <c r="R38" s="341"/>
      <c r="S38" s="341"/>
      <c r="T38" s="326"/>
      <c r="U38" s="340"/>
      <c r="V38" s="342"/>
      <c r="W38" s="328"/>
      <c r="X38" s="341"/>
      <c r="Y38" s="341"/>
      <c r="Z38" s="339"/>
      <c r="AA38" s="332"/>
      <c r="AB38" s="342"/>
      <c r="AC38" s="339"/>
      <c r="AD38" s="339"/>
      <c r="AE38" s="339"/>
      <c r="AF38" s="339"/>
      <c r="AG38" s="343"/>
      <c r="AH38" s="155"/>
      <c r="AI38" s="156"/>
      <c r="AJ38" s="156"/>
      <c r="AK38" s="157"/>
      <c r="AM38" s="72">
        <f t="shared" si="6"/>
        <v>0</v>
      </c>
      <c r="AN38" s="158">
        <f t="shared" si="8"/>
        <v>0</v>
      </c>
      <c r="AO38" s="159">
        <f t="shared" si="8"/>
        <v>0</v>
      </c>
      <c r="AP38" s="160">
        <f t="shared" si="8"/>
        <v>0</v>
      </c>
      <c r="AQ38" s="161">
        <f t="shared" si="8"/>
        <v>0</v>
      </c>
      <c r="AR38" s="162">
        <f t="shared" si="8"/>
        <v>0</v>
      </c>
      <c r="AS38" s="163">
        <f t="shared" si="8"/>
        <v>0</v>
      </c>
      <c r="AT38" s="159">
        <f t="shared" si="8"/>
        <v>0</v>
      </c>
      <c r="AU38" s="162">
        <f t="shared" si="8"/>
        <v>0</v>
      </c>
      <c r="AV38" s="162">
        <f t="shared" si="8"/>
        <v>0</v>
      </c>
      <c r="AW38" s="160">
        <f t="shared" si="8"/>
        <v>0</v>
      </c>
      <c r="AX38" s="163">
        <f t="shared" si="8"/>
        <v>0</v>
      </c>
      <c r="AY38" s="159">
        <f t="shared" si="8"/>
        <v>0</v>
      </c>
      <c r="AZ38" s="164">
        <f t="shared" si="8"/>
        <v>0</v>
      </c>
      <c r="BA38" s="161">
        <f t="shared" si="8"/>
        <v>0</v>
      </c>
      <c r="BB38" s="164">
        <f t="shared" si="8"/>
        <v>0</v>
      </c>
      <c r="BC38" s="164">
        <f t="shared" si="7"/>
        <v>0</v>
      </c>
      <c r="BD38" s="79"/>
      <c r="BE38" s="79"/>
      <c r="BF38" s="79"/>
      <c r="BG38" s="80"/>
      <c r="BI38" s="81"/>
    </row>
    <row r="39" spans="1:61" ht="30" customHeight="1" x14ac:dyDescent="0.15">
      <c r="A39" s="442"/>
      <c r="B39" s="154" t="s">
        <v>30</v>
      </c>
      <c r="C39" s="317"/>
      <c r="D39" s="345"/>
      <c r="E39" s="338"/>
      <c r="F39" s="339"/>
      <c r="G39" s="339"/>
      <c r="H39" s="339"/>
      <c r="I39" s="339"/>
      <c r="J39" s="340"/>
      <c r="K39" s="338"/>
      <c r="L39" s="341"/>
      <c r="M39" s="341"/>
      <c r="N39" s="341"/>
      <c r="O39" s="341"/>
      <c r="P39" s="189"/>
      <c r="Q39" s="322"/>
      <c r="R39" s="341"/>
      <c r="S39" s="341"/>
      <c r="T39" s="326"/>
      <c r="U39" s="340"/>
      <c r="V39" s="342"/>
      <c r="W39" s="328"/>
      <c r="X39" s="341"/>
      <c r="Y39" s="341"/>
      <c r="Z39" s="346"/>
      <c r="AA39" s="347"/>
      <c r="AB39" s="342"/>
      <c r="AC39" s="339"/>
      <c r="AD39" s="339"/>
      <c r="AE39" s="339"/>
      <c r="AF39" s="339"/>
      <c r="AG39" s="343"/>
      <c r="AH39" s="155"/>
      <c r="AI39" s="156"/>
      <c r="AJ39" s="156"/>
      <c r="AK39" s="157"/>
      <c r="AM39" s="72">
        <f t="shared" si="6"/>
        <v>0</v>
      </c>
      <c r="AN39" s="158">
        <f t="shared" si="8"/>
        <v>0</v>
      </c>
      <c r="AO39" s="159">
        <f t="shared" si="8"/>
        <v>0</v>
      </c>
      <c r="AP39" s="160">
        <f t="shared" si="8"/>
        <v>0</v>
      </c>
      <c r="AQ39" s="161">
        <f t="shared" si="8"/>
        <v>0</v>
      </c>
      <c r="AR39" s="162">
        <f t="shared" si="8"/>
        <v>0</v>
      </c>
      <c r="AS39" s="163">
        <f t="shared" si="8"/>
        <v>0</v>
      </c>
      <c r="AT39" s="159">
        <f t="shared" si="8"/>
        <v>0</v>
      </c>
      <c r="AU39" s="162">
        <f t="shared" si="8"/>
        <v>0</v>
      </c>
      <c r="AV39" s="162">
        <f t="shared" si="8"/>
        <v>0</v>
      </c>
      <c r="AW39" s="160">
        <f t="shared" si="8"/>
        <v>0</v>
      </c>
      <c r="AX39" s="163">
        <f t="shared" si="8"/>
        <v>0</v>
      </c>
      <c r="AY39" s="159">
        <f t="shared" si="8"/>
        <v>0</v>
      </c>
      <c r="AZ39" s="164">
        <f t="shared" si="8"/>
        <v>0</v>
      </c>
      <c r="BA39" s="161">
        <f t="shared" si="8"/>
        <v>0</v>
      </c>
      <c r="BB39" s="164">
        <f t="shared" si="8"/>
        <v>0</v>
      </c>
      <c r="BC39" s="164">
        <f t="shared" si="7"/>
        <v>0</v>
      </c>
      <c r="BD39" s="79"/>
      <c r="BE39" s="79"/>
      <c r="BF39" s="79"/>
      <c r="BG39" s="80"/>
      <c r="BI39" s="81"/>
    </row>
    <row r="40" spans="1:61" ht="30" customHeight="1" thickBot="1" x14ac:dyDescent="0.2">
      <c r="A40" s="443"/>
      <c r="B40" s="165" t="s">
        <v>30</v>
      </c>
      <c r="C40" s="348"/>
      <c r="D40" s="349"/>
      <c r="E40" s="350"/>
      <c r="F40" s="351"/>
      <c r="G40" s="351"/>
      <c r="H40" s="351"/>
      <c r="I40" s="351"/>
      <c r="J40" s="352"/>
      <c r="K40" s="350"/>
      <c r="L40" s="353"/>
      <c r="M40" s="353"/>
      <c r="N40" s="353"/>
      <c r="O40" s="353"/>
      <c r="P40" s="351"/>
      <c r="Q40" s="350"/>
      <c r="R40" s="353"/>
      <c r="S40" s="353"/>
      <c r="T40" s="351"/>
      <c r="U40" s="352"/>
      <c r="V40" s="354"/>
      <c r="W40" s="355"/>
      <c r="X40" s="353"/>
      <c r="Y40" s="353"/>
      <c r="Z40" s="351"/>
      <c r="AA40" s="356"/>
      <c r="AB40" s="354"/>
      <c r="AC40" s="351"/>
      <c r="AD40" s="351"/>
      <c r="AE40" s="351"/>
      <c r="AF40" s="351"/>
      <c r="AG40" s="351"/>
      <c r="AH40" s="166"/>
      <c r="AI40" s="167"/>
      <c r="AJ40" s="167"/>
      <c r="AK40" s="168"/>
      <c r="AM40" s="72">
        <f t="shared" si="6"/>
        <v>0</v>
      </c>
      <c r="AN40" s="108">
        <f t="shared" si="8"/>
        <v>0</v>
      </c>
      <c r="AO40" s="109">
        <f t="shared" si="8"/>
        <v>0</v>
      </c>
      <c r="AP40" s="110">
        <f t="shared" si="8"/>
        <v>0</v>
      </c>
      <c r="AQ40" s="111">
        <f t="shared" si="8"/>
        <v>0</v>
      </c>
      <c r="AR40" s="112">
        <f t="shared" si="8"/>
        <v>0</v>
      </c>
      <c r="AS40" s="113">
        <f t="shared" si="8"/>
        <v>0</v>
      </c>
      <c r="AT40" s="109">
        <f t="shared" si="8"/>
        <v>0</v>
      </c>
      <c r="AU40" s="112">
        <f t="shared" si="8"/>
        <v>0</v>
      </c>
      <c r="AV40" s="112">
        <f t="shared" si="8"/>
        <v>0</v>
      </c>
      <c r="AW40" s="110">
        <f t="shared" si="8"/>
        <v>0</v>
      </c>
      <c r="AX40" s="113">
        <f t="shared" si="8"/>
        <v>0</v>
      </c>
      <c r="AY40" s="109">
        <f t="shared" si="8"/>
        <v>0</v>
      </c>
      <c r="AZ40" s="114">
        <f t="shared" si="8"/>
        <v>0</v>
      </c>
      <c r="BA40" s="111">
        <f t="shared" si="8"/>
        <v>0</v>
      </c>
      <c r="BB40" s="114">
        <f t="shared" si="8"/>
        <v>0</v>
      </c>
      <c r="BC40" s="114">
        <f t="shared" si="7"/>
        <v>0</v>
      </c>
      <c r="BD40" s="79"/>
      <c r="BE40" s="79"/>
      <c r="BF40" s="79"/>
      <c r="BG40" s="80"/>
      <c r="BI40" s="81"/>
    </row>
    <row r="41" spans="1:61" ht="30" customHeight="1" x14ac:dyDescent="0.15">
      <c r="A41" s="441" t="s">
        <v>34</v>
      </c>
      <c r="B41" s="169" t="s">
        <v>4</v>
      </c>
      <c r="C41" s="116"/>
      <c r="D41" s="117"/>
      <c r="E41" s="122"/>
      <c r="F41" s="119"/>
      <c r="G41" s="119"/>
      <c r="H41" s="119"/>
      <c r="I41" s="119"/>
      <c r="J41" s="223"/>
      <c r="K41" s="118"/>
      <c r="L41" s="120"/>
      <c r="M41" s="120"/>
      <c r="N41" s="120"/>
      <c r="O41" s="120"/>
      <c r="P41" s="121"/>
      <c r="Q41" s="122"/>
      <c r="R41" s="120"/>
      <c r="S41" s="120"/>
      <c r="T41" s="123"/>
      <c r="U41" s="223"/>
      <c r="V41" s="124"/>
      <c r="W41" s="125"/>
      <c r="X41" s="120"/>
      <c r="Y41" s="120"/>
      <c r="Z41" s="119"/>
      <c r="AA41" s="126"/>
      <c r="AB41" s="124"/>
      <c r="AC41" s="119"/>
      <c r="AD41" s="119"/>
      <c r="AE41" s="119"/>
      <c r="AF41" s="119"/>
      <c r="AG41" s="127"/>
      <c r="AH41" s="128"/>
      <c r="AI41" s="129"/>
      <c r="AJ41" s="129"/>
      <c r="AK41" s="130"/>
      <c r="AM41" s="72">
        <f t="shared" si="6"/>
        <v>0</v>
      </c>
      <c r="AN41" s="140">
        <f t="shared" ref="AN41:BB55" si="9">COUNTIF($E41:$AK41,"*"&amp;AN$66&amp;"*")</f>
        <v>0</v>
      </c>
      <c r="AO41" s="150">
        <f t="shared" si="9"/>
        <v>0</v>
      </c>
      <c r="AP41" s="151">
        <f t="shared" si="9"/>
        <v>0</v>
      </c>
      <c r="AQ41" s="136">
        <f t="shared" si="9"/>
        <v>0</v>
      </c>
      <c r="AR41" s="152">
        <f t="shared" si="9"/>
        <v>0</v>
      </c>
      <c r="AS41" s="147">
        <f t="shared" si="9"/>
        <v>0</v>
      </c>
      <c r="AT41" s="150">
        <f t="shared" si="9"/>
        <v>0</v>
      </c>
      <c r="AU41" s="152">
        <f t="shared" si="9"/>
        <v>0</v>
      </c>
      <c r="AV41" s="152">
        <f t="shared" si="9"/>
        <v>0</v>
      </c>
      <c r="AW41" s="151">
        <f t="shared" si="9"/>
        <v>0</v>
      </c>
      <c r="AX41" s="147">
        <f t="shared" si="9"/>
        <v>0</v>
      </c>
      <c r="AY41" s="150">
        <f t="shared" si="9"/>
        <v>0</v>
      </c>
      <c r="AZ41" s="153">
        <f t="shared" si="9"/>
        <v>0</v>
      </c>
      <c r="BA41" s="136">
        <f t="shared" si="9"/>
        <v>0</v>
      </c>
      <c r="BB41" s="153">
        <f t="shared" si="9"/>
        <v>0</v>
      </c>
      <c r="BC41" s="153">
        <f t="shared" si="7"/>
        <v>0</v>
      </c>
      <c r="BD41" s="79"/>
      <c r="BE41" s="79"/>
      <c r="BF41" s="79"/>
      <c r="BG41" s="80"/>
      <c r="BI41" s="81"/>
    </row>
    <row r="42" spans="1:61" ht="30" customHeight="1" x14ac:dyDescent="0.15">
      <c r="A42" s="442"/>
      <c r="B42" s="170" t="s">
        <v>28</v>
      </c>
      <c r="C42" s="357"/>
      <c r="D42" s="337"/>
      <c r="E42" s="322"/>
      <c r="F42" s="339"/>
      <c r="G42" s="339"/>
      <c r="H42" s="339"/>
      <c r="I42" s="339"/>
      <c r="J42" s="340"/>
      <c r="K42" s="338"/>
      <c r="L42" s="341"/>
      <c r="M42" s="341"/>
      <c r="N42" s="341"/>
      <c r="O42" s="341"/>
      <c r="P42" s="189"/>
      <c r="Q42" s="322"/>
      <c r="R42" s="341"/>
      <c r="S42" s="341"/>
      <c r="T42" s="326"/>
      <c r="U42" s="340"/>
      <c r="V42" s="342"/>
      <c r="W42" s="328"/>
      <c r="X42" s="341"/>
      <c r="Y42" s="341"/>
      <c r="Z42" s="339"/>
      <c r="AA42" s="332"/>
      <c r="AB42" s="342"/>
      <c r="AC42" s="339"/>
      <c r="AD42" s="339"/>
      <c r="AE42" s="339"/>
      <c r="AF42" s="339"/>
      <c r="AG42" s="343"/>
      <c r="AH42" s="171"/>
      <c r="AI42" s="172"/>
      <c r="AJ42" s="172"/>
      <c r="AK42" s="173"/>
      <c r="AM42" s="72">
        <f t="shared" si="6"/>
        <v>0</v>
      </c>
      <c r="AN42" s="174">
        <f t="shared" si="9"/>
        <v>0</v>
      </c>
      <c r="AO42" s="175">
        <f t="shared" si="9"/>
        <v>0</v>
      </c>
      <c r="AP42" s="176">
        <f t="shared" si="9"/>
        <v>0</v>
      </c>
      <c r="AQ42" s="177">
        <f t="shared" si="9"/>
        <v>0</v>
      </c>
      <c r="AR42" s="178">
        <f t="shared" si="9"/>
        <v>0</v>
      </c>
      <c r="AS42" s="179">
        <f t="shared" si="9"/>
        <v>0</v>
      </c>
      <c r="AT42" s="175">
        <f t="shared" si="9"/>
        <v>0</v>
      </c>
      <c r="AU42" s="178">
        <f t="shared" si="9"/>
        <v>0</v>
      </c>
      <c r="AV42" s="178">
        <f t="shared" si="9"/>
        <v>0</v>
      </c>
      <c r="AW42" s="176">
        <f t="shared" si="9"/>
        <v>0</v>
      </c>
      <c r="AX42" s="179">
        <f t="shared" si="9"/>
        <v>0</v>
      </c>
      <c r="AY42" s="175">
        <f t="shared" si="9"/>
        <v>0</v>
      </c>
      <c r="AZ42" s="180">
        <f t="shared" si="9"/>
        <v>0</v>
      </c>
      <c r="BA42" s="177">
        <f t="shared" si="9"/>
        <v>0</v>
      </c>
      <c r="BB42" s="180">
        <f t="shared" si="9"/>
        <v>0</v>
      </c>
      <c r="BC42" s="180">
        <f t="shared" si="7"/>
        <v>0</v>
      </c>
      <c r="BD42" s="79"/>
      <c r="BE42" s="79"/>
      <c r="BF42" s="79"/>
      <c r="BG42" s="80"/>
      <c r="BI42" s="81"/>
    </row>
    <row r="43" spans="1:61" ht="30" customHeight="1" x14ac:dyDescent="0.15">
      <c r="A43" s="442"/>
      <c r="B43" s="181" t="s">
        <v>29</v>
      </c>
      <c r="C43" s="344"/>
      <c r="D43" s="188"/>
      <c r="E43" s="322"/>
      <c r="F43" s="339"/>
      <c r="G43" s="339"/>
      <c r="H43" s="339"/>
      <c r="I43" s="339"/>
      <c r="J43" s="340"/>
      <c r="K43" s="358"/>
      <c r="L43" s="341"/>
      <c r="M43" s="341"/>
      <c r="N43" s="341"/>
      <c r="O43" s="341"/>
      <c r="P43" s="189"/>
      <c r="Q43" s="322"/>
      <c r="R43" s="341"/>
      <c r="S43" s="341"/>
      <c r="T43" s="326"/>
      <c r="U43" s="340"/>
      <c r="V43" s="359"/>
      <c r="W43" s="328"/>
      <c r="X43" s="341"/>
      <c r="Y43" s="341"/>
      <c r="Z43" s="339"/>
      <c r="AA43" s="332"/>
      <c r="AB43" s="359"/>
      <c r="AC43" s="339"/>
      <c r="AD43" s="339"/>
      <c r="AE43" s="339"/>
      <c r="AF43" s="339"/>
      <c r="AG43" s="343"/>
      <c r="AH43" s="171"/>
      <c r="AI43" s="172"/>
      <c r="AJ43" s="172"/>
      <c r="AK43" s="173"/>
      <c r="AM43" s="72">
        <f t="shared" si="6"/>
        <v>0</v>
      </c>
      <c r="AN43" s="140">
        <f t="shared" si="9"/>
        <v>0</v>
      </c>
      <c r="AO43" s="150">
        <f t="shared" si="9"/>
        <v>0</v>
      </c>
      <c r="AP43" s="151">
        <f t="shared" si="9"/>
        <v>0</v>
      </c>
      <c r="AQ43" s="136">
        <f t="shared" si="9"/>
        <v>0</v>
      </c>
      <c r="AR43" s="152">
        <f t="shared" si="9"/>
        <v>0</v>
      </c>
      <c r="AS43" s="147">
        <f t="shared" si="9"/>
        <v>0</v>
      </c>
      <c r="AT43" s="150">
        <f t="shared" si="9"/>
        <v>0</v>
      </c>
      <c r="AU43" s="152">
        <f t="shared" si="9"/>
        <v>0</v>
      </c>
      <c r="AV43" s="152">
        <f t="shared" si="9"/>
        <v>0</v>
      </c>
      <c r="AW43" s="151">
        <f t="shared" si="9"/>
        <v>0</v>
      </c>
      <c r="AX43" s="147">
        <f t="shared" si="9"/>
        <v>0</v>
      </c>
      <c r="AY43" s="150">
        <f t="shared" si="9"/>
        <v>0</v>
      </c>
      <c r="AZ43" s="153">
        <f t="shared" si="9"/>
        <v>0</v>
      </c>
      <c r="BA43" s="136">
        <f t="shared" si="9"/>
        <v>0</v>
      </c>
      <c r="BB43" s="153">
        <f t="shared" si="9"/>
        <v>0</v>
      </c>
      <c r="BC43" s="153">
        <f t="shared" si="7"/>
        <v>0</v>
      </c>
      <c r="BD43" s="79"/>
      <c r="BE43" s="79"/>
      <c r="BF43" s="79"/>
      <c r="BG43" s="80"/>
      <c r="BI43" s="81"/>
    </row>
    <row r="44" spans="1:61" ht="30" customHeight="1" outlineLevel="1" x14ac:dyDescent="0.15">
      <c r="A44" s="442"/>
      <c r="B44" s="182" t="s">
        <v>32</v>
      </c>
      <c r="C44" s="344"/>
      <c r="D44" s="188"/>
      <c r="E44" s="322"/>
      <c r="F44" s="339"/>
      <c r="G44" s="339"/>
      <c r="H44" s="339"/>
      <c r="I44" s="339"/>
      <c r="J44" s="340"/>
      <c r="K44" s="338"/>
      <c r="L44" s="341"/>
      <c r="M44" s="341"/>
      <c r="N44" s="341"/>
      <c r="O44" s="341"/>
      <c r="P44" s="189"/>
      <c r="Q44" s="322"/>
      <c r="R44" s="341"/>
      <c r="S44" s="341"/>
      <c r="T44" s="326"/>
      <c r="U44" s="340"/>
      <c r="V44" s="342"/>
      <c r="W44" s="328"/>
      <c r="X44" s="341"/>
      <c r="Y44" s="341"/>
      <c r="Z44" s="339"/>
      <c r="AA44" s="332"/>
      <c r="AB44" s="342"/>
      <c r="AC44" s="339"/>
      <c r="AD44" s="339"/>
      <c r="AE44" s="339"/>
      <c r="AF44" s="339"/>
      <c r="AG44" s="343"/>
      <c r="AH44" s="171"/>
      <c r="AI44" s="172"/>
      <c r="AJ44" s="172"/>
      <c r="AK44" s="173"/>
      <c r="AM44" s="72">
        <f t="shared" si="6"/>
        <v>0</v>
      </c>
      <c r="AN44" s="140">
        <f t="shared" si="9"/>
        <v>0</v>
      </c>
      <c r="AO44" s="183">
        <f t="shared" si="9"/>
        <v>0</v>
      </c>
      <c r="AP44" s="184">
        <f t="shared" si="9"/>
        <v>0</v>
      </c>
      <c r="AQ44" s="136">
        <f t="shared" si="9"/>
        <v>0</v>
      </c>
      <c r="AR44" s="185">
        <f t="shared" si="9"/>
        <v>0</v>
      </c>
      <c r="AS44" s="147">
        <f t="shared" si="9"/>
        <v>0</v>
      </c>
      <c r="AT44" s="183">
        <f t="shared" si="9"/>
        <v>0</v>
      </c>
      <c r="AU44" s="185">
        <f t="shared" si="9"/>
        <v>0</v>
      </c>
      <c r="AV44" s="185">
        <f t="shared" si="9"/>
        <v>0</v>
      </c>
      <c r="AW44" s="184">
        <f t="shared" si="9"/>
        <v>0</v>
      </c>
      <c r="AX44" s="147">
        <f t="shared" si="9"/>
        <v>0</v>
      </c>
      <c r="AY44" s="183">
        <f t="shared" si="9"/>
        <v>0</v>
      </c>
      <c r="AZ44" s="186">
        <f t="shared" si="9"/>
        <v>0</v>
      </c>
      <c r="BA44" s="136">
        <f t="shared" si="9"/>
        <v>0</v>
      </c>
      <c r="BB44" s="186">
        <f t="shared" si="9"/>
        <v>0</v>
      </c>
      <c r="BC44" s="186">
        <f t="shared" si="7"/>
        <v>0</v>
      </c>
      <c r="BD44" s="79"/>
      <c r="BE44" s="79"/>
      <c r="BF44" s="79"/>
      <c r="BG44" s="80"/>
      <c r="BI44" s="81"/>
    </row>
    <row r="45" spans="1:61" ht="30" customHeight="1" outlineLevel="1" x14ac:dyDescent="0.15">
      <c r="A45" s="442"/>
      <c r="B45" s="187" t="s">
        <v>33</v>
      </c>
      <c r="C45" s="344"/>
      <c r="D45" s="188"/>
      <c r="E45" s="322"/>
      <c r="F45" s="339"/>
      <c r="G45" s="339"/>
      <c r="H45" s="339"/>
      <c r="I45" s="339"/>
      <c r="J45" s="340"/>
      <c r="K45" s="338"/>
      <c r="L45" s="341"/>
      <c r="M45" s="341"/>
      <c r="N45" s="341"/>
      <c r="O45" s="341"/>
      <c r="P45" s="189"/>
      <c r="Q45" s="322"/>
      <c r="R45" s="341"/>
      <c r="S45" s="341"/>
      <c r="T45" s="326"/>
      <c r="U45" s="340"/>
      <c r="V45" s="342"/>
      <c r="W45" s="328"/>
      <c r="X45" s="341"/>
      <c r="Y45" s="341"/>
      <c r="Z45" s="339"/>
      <c r="AA45" s="332"/>
      <c r="AB45" s="342"/>
      <c r="AC45" s="339"/>
      <c r="AD45" s="339"/>
      <c r="AE45" s="339"/>
      <c r="AF45" s="339"/>
      <c r="AG45" s="343"/>
      <c r="AH45" s="171"/>
      <c r="AI45" s="172"/>
      <c r="AJ45" s="172"/>
      <c r="AK45" s="173"/>
      <c r="AM45" s="72">
        <f t="shared" si="6"/>
        <v>0</v>
      </c>
      <c r="AN45" s="140">
        <f t="shared" si="9"/>
        <v>0</v>
      </c>
      <c r="AO45" s="190">
        <f t="shared" si="9"/>
        <v>0</v>
      </c>
      <c r="AP45" s="191">
        <f t="shared" si="9"/>
        <v>0</v>
      </c>
      <c r="AQ45" s="136">
        <f t="shared" si="9"/>
        <v>0</v>
      </c>
      <c r="AR45" s="192">
        <f t="shared" si="9"/>
        <v>0</v>
      </c>
      <c r="AS45" s="147">
        <f t="shared" si="9"/>
        <v>0</v>
      </c>
      <c r="AT45" s="190">
        <f t="shared" si="9"/>
        <v>0</v>
      </c>
      <c r="AU45" s="192">
        <f t="shared" si="9"/>
        <v>0</v>
      </c>
      <c r="AV45" s="192">
        <f t="shared" si="9"/>
        <v>0</v>
      </c>
      <c r="AW45" s="191">
        <f t="shared" si="9"/>
        <v>0</v>
      </c>
      <c r="AX45" s="147">
        <f t="shared" si="9"/>
        <v>0</v>
      </c>
      <c r="AY45" s="190">
        <f t="shared" si="9"/>
        <v>0</v>
      </c>
      <c r="AZ45" s="193">
        <f t="shared" si="9"/>
        <v>0</v>
      </c>
      <c r="BA45" s="136">
        <f t="shared" si="9"/>
        <v>0</v>
      </c>
      <c r="BB45" s="193">
        <f t="shared" si="9"/>
        <v>0</v>
      </c>
      <c r="BC45" s="193">
        <f t="shared" si="7"/>
        <v>0</v>
      </c>
      <c r="BD45" s="79"/>
      <c r="BE45" s="79"/>
      <c r="BF45" s="79"/>
      <c r="BG45" s="80"/>
      <c r="BI45" s="81"/>
    </row>
    <row r="46" spans="1:61" ht="30" customHeight="1" outlineLevel="1" x14ac:dyDescent="0.15">
      <c r="A46" s="442"/>
      <c r="B46" s="194" t="s">
        <v>30</v>
      </c>
      <c r="C46" s="320"/>
      <c r="D46" s="337"/>
      <c r="E46" s="322"/>
      <c r="F46" s="339"/>
      <c r="G46" s="339"/>
      <c r="H46" s="339"/>
      <c r="I46" s="339"/>
      <c r="J46" s="340"/>
      <c r="K46" s="338"/>
      <c r="L46" s="341"/>
      <c r="M46" s="341"/>
      <c r="N46" s="341"/>
      <c r="O46" s="341"/>
      <c r="P46" s="189"/>
      <c r="Q46" s="322"/>
      <c r="R46" s="341"/>
      <c r="S46" s="341"/>
      <c r="T46" s="326"/>
      <c r="U46" s="340"/>
      <c r="V46" s="342"/>
      <c r="W46" s="328"/>
      <c r="X46" s="341"/>
      <c r="Y46" s="341"/>
      <c r="Z46" s="339"/>
      <c r="AA46" s="332"/>
      <c r="AB46" s="342"/>
      <c r="AC46" s="339"/>
      <c r="AD46" s="339"/>
      <c r="AE46" s="339"/>
      <c r="AF46" s="339"/>
      <c r="AG46" s="343"/>
      <c r="AH46" s="171"/>
      <c r="AI46" s="172"/>
      <c r="AJ46" s="172"/>
      <c r="AK46" s="173"/>
      <c r="AM46" s="72">
        <f t="shared" si="6"/>
        <v>0</v>
      </c>
      <c r="AN46" s="174">
        <f t="shared" si="9"/>
        <v>0</v>
      </c>
      <c r="AO46" s="175">
        <f t="shared" si="9"/>
        <v>0</v>
      </c>
      <c r="AP46" s="176">
        <f t="shared" si="9"/>
        <v>0</v>
      </c>
      <c r="AQ46" s="177">
        <f t="shared" si="9"/>
        <v>0</v>
      </c>
      <c r="AR46" s="178">
        <f t="shared" si="9"/>
        <v>0</v>
      </c>
      <c r="AS46" s="179">
        <f t="shared" si="9"/>
        <v>0</v>
      </c>
      <c r="AT46" s="175">
        <f t="shared" si="9"/>
        <v>0</v>
      </c>
      <c r="AU46" s="178">
        <f t="shared" si="9"/>
        <v>0</v>
      </c>
      <c r="AV46" s="178">
        <f t="shared" si="9"/>
        <v>0</v>
      </c>
      <c r="AW46" s="176">
        <f t="shared" si="9"/>
        <v>0</v>
      </c>
      <c r="AX46" s="179">
        <f t="shared" si="9"/>
        <v>0</v>
      </c>
      <c r="AY46" s="175">
        <f t="shared" si="9"/>
        <v>0</v>
      </c>
      <c r="AZ46" s="180">
        <f t="shared" si="9"/>
        <v>0</v>
      </c>
      <c r="BA46" s="177">
        <f t="shared" si="9"/>
        <v>0</v>
      </c>
      <c r="BB46" s="180">
        <f t="shared" si="9"/>
        <v>0</v>
      </c>
      <c r="BC46" s="180">
        <f t="shared" si="7"/>
        <v>0</v>
      </c>
      <c r="BD46" s="79"/>
      <c r="BE46" s="79"/>
      <c r="BF46" s="79"/>
      <c r="BG46" s="80"/>
      <c r="BI46" s="81"/>
    </row>
    <row r="47" spans="1:61" ht="30" customHeight="1" outlineLevel="1" x14ac:dyDescent="0.15">
      <c r="A47" s="442"/>
      <c r="B47" s="195" t="s">
        <v>30</v>
      </c>
      <c r="C47" s="320"/>
      <c r="D47" s="345"/>
      <c r="E47" s="322"/>
      <c r="F47" s="339"/>
      <c r="G47" s="339"/>
      <c r="H47" s="339"/>
      <c r="I47" s="339"/>
      <c r="J47" s="340"/>
      <c r="K47" s="338"/>
      <c r="L47" s="341"/>
      <c r="M47" s="341"/>
      <c r="N47" s="341"/>
      <c r="O47" s="341"/>
      <c r="P47" s="189"/>
      <c r="Q47" s="322"/>
      <c r="R47" s="341"/>
      <c r="S47" s="341"/>
      <c r="T47" s="326"/>
      <c r="U47" s="340"/>
      <c r="V47" s="342"/>
      <c r="W47" s="328"/>
      <c r="X47" s="341"/>
      <c r="Y47" s="341"/>
      <c r="Z47" s="339"/>
      <c r="AA47" s="332"/>
      <c r="AB47" s="342"/>
      <c r="AC47" s="339"/>
      <c r="AD47" s="339"/>
      <c r="AE47" s="339"/>
      <c r="AF47" s="339"/>
      <c r="AG47" s="343"/>
      <c r="AH47" s="197"/>
      <c r="AI47" s="198"/>
      <c r="AJ47" s="198"/>
      <c r="AK47" s="199"/>
      <c r="AM47" s="72">
        <f t="shared" si="6"/>
        <v>0</v>
      </c>
      <c r="AN47" s="174">
        <f t="shared" si="9"/>
        <v>0</v>
      </c>
      <c r="AO47" s="200">
        <f t="shared" si="9"/>
        <v>0</v>
      </c>
      <c r="AP47" s="201">
        <f t="shared" si="9"/>
        <v>0</v>
      </c>
      <c r="AQ47" s="202">
        <f t="shared" si="9"/>
        <v>0</v>
      </c>
      <c r="AR47" s="203">
        <f t="shared" si="9"/>
        <v>0</v>
      </c>
      <c r="AS47" s="179">
        <f t="shared" si="9"/>
        <v>0</v>
      </c>
      <c r="AT47" s="200">
        <f t="shared" si="9"/>
        <v>0</v>
      </c>
      <c r="AU47" s="203">
        <f t="shared" si="9"/>
        <v>0</v>
      </c>
      <c r="AV47" s="203">
        <f t="shared" si="9"/>
        <v>0</v>
      </c>
      <c r="AW47" s="201">
        <f t="shared" si="9"/>
        <v>0</v>
      </c>
      <c r="AX47" s="179">
        <f t="shared" si="9"/>
        <v>0</v>
      </c>
      <c r="AY47" s="200">
        <f t="shared" si="9"/>
        <v>0</v>
      </c>
      <c r="AZ47" s="204">
        <f t="shared" si="9"/>
        <v>0</v>
      </c>
      <c r="BA47" s="202">
        <f t="shared" si="9"/>
        <v>0</v>
      </c>
      <c r="BB47" s="204">
        <f t="shared" si="9"/>
        <v>0</v>
      </c>
      <c r="BC47" s="204">
        <f t="shared" si="7"/>
        <v>0</v>
      </c>
      <c r="BD47" s="79"/>
      <c r="BE47" s="79"/>
      <c r="BF47" s="79"/>
      <c r="BG47" s="80"/>
      <c r="BI47" s="81"/>
    </row>
    <row r="48" spans="1:61" ht="30" customHeight="1" x14ac:dyDescent="0.15">
      <c r="A48" s="442"/>
      <c r="B48" s="195" t="s">
        <v>30</v>
      </c>
      <c r="C48" s="320"/>
      <c r="D48" s="345"/>
      <c r="E48" s="322"/>
      <c r="F48" s="339"/>
      <c r="G48" s="339"/>
      <c r="H48" s="339"/>
      <c r="I48" s="339"/>
      <c r="J48" s="340"/>
      <c r="K48" s="338"/>
      <c r="L48" s="341"/>
      <c r="M48" s="341"/>
      <c r="N48" s="341"/>
      <c r="O48" s="341"/>
      <c r="P48" s="189"/>
      <c r="Q48" s="322"/>
      <c r="R48" s="341"/>
      <c r="S48" s="341"/>
      <c r="T48" s="326"/>
      <c r="U48" s="340"/>
      <c r="V48" s="359"/>
      <c r="W48" s="328"/>
      <c r="X48" s="341"/>
      <c r="Y48" s="341"/>
      <c r="Z48" s="339"/>
      <c r="AA48" s="341"/>
      <c r="AB48" s="342"/>
      <c r="AC48" s="339"/>
      <c r="AD48" s="339"/>
      <c r="AE48" s="339"/>
      <c r="AF48" s="339"/>
      <c r="AG48" s="343"/>
      <c r="AH48" s="197"/>
      <c r="AI48" s="198"/>
      <c r="AJ48" s="198"/>
      <c r="AK48" s="199"/>
      <c r="AM48" s="72">
        <f t="shared" si="6"/>
        <v>0</v>
      </c>
      <c r="AN48" s="174">
        <f t="shared" si="9"/>
        <v>0</v>
      </c>
      <c r="AO48" s="200">
        <f t="shared" si="9"/>
        <v>0</v>
      </c>
      <c r="AP48" s="201">
        <f t="shared" si="9"/>
        <v>0</v>
      </c>
      <c r="AQ48" s="202">
        <f t="shared" si="9"/>
        <v>0</v>
      </c>
      <c r="AR48" s="203">
        <f t="shared" si="9"/>
        <v>0</v>
      </c>
      <c r="AS48" s="179">
        <f t="shared" si="9"/>
        <v>0</v>
      </c>
      <c r="AT48" s="200">
        <f t="shared" si="9"/>
        <v>0</v>
      </c>
      <c r="AU48" s="203">
        <f t="shared" si="9"/>
        <v>0</v>
      </c>
      <c r="AV48" s="203">
        <f t="shared" si="9"/>
        <v>0</v>
      </c>
      <c r="AW48" s="201">
        <f t="shared" si="9"/>
        <v>0</v>
      </c>
      <c r="AX48" s="179">
        <f t="shared" si="9"/>
        <v>0</v>
      </c>
      <c r="AY48" s="200">
        <f t="shared" si="9"/>
        <v>0</v>
      </c>
      <c r="AZ48" s="204">
        <f t="shared" si="9"/>
        <v>0</v>
      </c>
      <c r="BA48" s="202">
        <f t="shared" si="9"/>
        <v>0</v>
      </c>
      <c r="BB48" s="204">
        <f t="shared" si="9"/>
        <v>0</v>
      </c>
      <c r="BC48" s="204">
        <f t="shared" si="7"/>
        <v>0</v>
      </c>
      <c r="BD48" s="79"/>
      <c r="BE48" s="79"/>
      <c r="BF48" s="79"/>
      <c r="BG48" s="80"/>
      <c r="BI48" s="81"/>
    </row>
    <row r="49" spans="1:61" ht="30" customHeight="1" x14ac:dyDescent="0.15">
      <c r="A49" s="442"/>
      <c r="B49" s="195" t="s">
        <v>30</v>
      </c>
      <c r="C49" s="320"/>
      <c r="D49" s="345"/>
      <c r="E49" s="322"/>
      <c r="F49" s="339"/>
      <c r="G49" s="339"/>
      <c r="H49" s="339"/>
      <c r="I49" s="339"/>
      <c r="J49" s="340"/>
      <c r="K49" s="338"/>
      <c r="L49" s="341"/>
      <c r="M49" s="341"/>
      <c r="N49" s="341"/>
      <c r="O49" s="341"/>
      <c r="P49" s="189"/>
      <c r="Q49" s="322"/>
      <c r="R49" s="341"/>
      <c r="S49" s="341"/>
      <c r="T49" s="326"/>
      <c r="U49" s="340"/>
      <c r="V49" s="342"/>
      <c r="W49" s="328"/>
      <c r="X49" s="341"/>
      <c r="Y49" s="341"/>
      <c r="Z49" s="339"/>
      <c r="AA49" s="332"/>
      <c r="AB49" s="342"/>
      <c r="AC49" s="339"/>
      <c r="AD49" s="339"/>
      <c r="AE49" s="339"/>
      <c r="AF49" s="339"/>
      <c r="AG49" s="343"/>
      <c r="AH49" s="197"/>
      <c r="AI49" s="198"/>
      <c r="AJ49" s="198"/>
      <c r="AK49" s="199"/>
      <c r="AM49" s="72">
        <f t="shared" si="6"/>
        <v>0</v>
      </c>
      <c r="AN49" s="174">
        <f t="shared" si="9"/>
        <v>0</v>
      </c>
      <c r="AO49" s="200">
        <f t="shared" si="9"/>
        <v>0</v>
      </c>
      <c r="AP49" s="201">
        <f t="shared" si="9"/>
        <v>0</v>
      </c>
      <c r="AQ49" s="202">
        <f t="shared" si="9"/>
        <v>0</v>
      </c>
      <c r="AR49" s="203">
        <f t="shared" si="9"/>
        <v>0</v>
      </c>
      <c r="AS49" s="179">
        <f t="shared" si="9"/>
        <v>0</v>
      </c>
      <c r="AT49" s="200">
        <f t="shared" si="9"/>
        <v>0</v>
      </c>
      <c r="AU49" s="203">
        <f t="shared" si="9"/>
        <v>0</v>
      </c>
      <c r="AV49" s="203">
        <f t="shared" si="9"/>
        <v>0</v>
      </c>
      <c r="AW49" s="201">
        <f t="shared" si="9"/>
        <v>0</v>
      </c>
      <c r="AX49" s="179">
        <f t="shared" si="9"/>
        <v>0</v>
      </c>
      <c r="AY49" s="200">
        <f t="shared" si="9"/>
        <v>0</v>
      </c>
      <c r="AZ49" s="204">
        <f t="shared" si="9"/>
        <v>0</v>
      </c>
      <c r="BA49" s="202">
        <f t="shared" si="9"/>
        <v>0</v>
      </c>
      <c r="BB49" s="204">
        <f t="shared" si="9"/>
        <v>0</v>
      </c>
      <c r="BC49" s="204">
        <f t="shared" si="7"/>
        <v>0</v>
      </c>
      <c r="BD49" s="79"/>
      <c r="BE49" s="79"/>
      <c r="BF49" s="79"/>
      <c r="BG49" s="80"/>
      <c r="BI49" s="81"/>
    </row>
    <row r="50" spans="1:61" ht="30" customHeight="1" thickBot="1" x14ac:dyDescent="0.2">
      <c r="A50" s="443"/>
      <c r="B50" s="205" t="s">
        <v>30</v>
      </c>
      <c r="C50" s="360"/>
      <c r="D50" s="361"/>
      <c r="E50" s="350"/>
      <c r="F50" s="351"/>
      <c r="G50" s="351"/>
      <c r="H50" s="351"/>
      <c r="I50" s="351"/>
      <c r="J50" s="352"/>
      <c r="K50" s="350"/>
      <c r="L50" s="353"/>
      <c r="M50" s="353"/>
      <c r="N50" s="353"/>
      <c r="O50" s="353"/>
      <c r="P50" s="356"/>
      <c r="Q50" s="362"/>
      <c r="R50" s="353"/>
      <c r="S50" s="353"/>
      <c r="T50" s="363"/>
      <c r="U50" s="352"/>
      <c r="V50" s="354"/>
      <c r="W50" s="355"/>
      <c r="X50" s="353"/>
      <c r="Y50" s="353"/>
      <c r="Z50" s="351"/>
      <c r="AA50" s="364"/>
      <c r="AB50" s="354"/>
      <c r="AC50" s="351"/>
      <c r="AD50" s="351"/>
      <c r="AE50" s="351"/>
      <c r="AF50" s="351"/>
      <c r="AG50" s="356"/>
      <c r="AH50" s="210"/>
      <c r="AI50" s="211"/>
      <c r="AJ50" s="211"/>
      <c r="AK50" s="212"/>
      <c r="AM50" s="72">
        <f t="shared" si="6"/>
        <v>0</v>
      </c>
      <c r="AN50" s="213">
        <f t="shared" si="9"/>
        <v>0</v>
      </c>
      <c r="AO50" s="214">
        <f t="shared" si="9"/>
        <v>0</v>
      </c>
      <c r="AP50" s="215">
        <f t="shared" si="9"/>
        <v>0</v>
      </c>
      <c r="AQ50" s="216">
        <f t="shared" si="9"/>
        <v>0</v>
      </c>
      <c r="AR50" s="217">
        <f t="shared" si="9"/>
        <v>0</v>
      </c>
      <c r="AS50" s="218">
        <f t="shared" si="9"/>
        <v>0</v>
      </c>
      <c r="AT50" s="214">
        <f t="shared" si="9"/>
        <v>0</v>
      </c>
      <c r="AU50" s="217">
        <f t="shared" si="9"/>
        <v>0</v>
      </c>
      <c r="AV50" s="217">
        <f t="shared" si="9"/>
        <v>0</v>
      </c>
      <c r="AW50" s="215">
        <f t="shared" si="9"/>
        <v>0</v>
      </c>
      <c r="AX50" s="218">
        <f t="shared" si="9"/>
        <v>0</v>
      </c>
      <c r="AY50" s="214">
        <f t="shared" si="9"/>
        <v>0</v>
      </c>
      <c r="AZ50" s="219">
        <f t="shared" si="9"/>
        <v>0</v>
      </c>
      <c r="BA50" s="216">
        <f t="shared" si="9"/>
        <v>0</v>
      </c>
      <c r="BB50" s="219">
        <f t="shared" si="9"/>
        <v>0</v>
      </c>
      <c r="BC50" s="219">
        <f t="shared" si="7"/>
        <v>0</v>
      </c>
      <c r="BD50" s="79"/>
      <c r="BE50" s="79"/>
      <c r="BF50" s="79"/>
      <c r="BG50" s="80"/>
      <c r="BI50" s="81"/>
    </row>
    <row r="51" spans="1:61" ht="30" customHeight="1" x14ac:dyDescent="0.15">
      <c r="A51" s="441" t="s">
        <v>35</v>
      </c>
      <c r="B51" s="220" t="s">
        <v>36</v>
      </c>
      <c r="C51" s="51"/>
      <c r="D51" s="221"/>
      <c r="E51" s="118"/>
      <c r="F51" s="119"/>
      <c r="G51" s="119"/>
      <c r="H51" s="119"/>
      <c r="I51" s="222"/>
      <c r="J51" s="223"/>
      <c r="K51" s="118"/>
      <c r="L51" s="120"/>
      <c r="M51" s="120"/>
      <c r="N51" s="224"/>
      <c r="O51" s="224"/>
      <c r="P51" s="225"/>
      <c r="Q51" s="226"/>
      <c r="R51" s="224"/>
      <c r="S51" s="224"/>
      <c r="T51" s="224"/>
      <c r="U51" s="227"/>
      <c r="V51" s="124"/>
      <c r="W51" s="125"/>
      <c r="X51" s="120"/>
      <c r="Y51" s="224"/>
      <c r="Z51" s="222"/>
      <c r="AA51" s="228"/>
      <c r="AB51" s="229"/>
      <c r="AC51" s="222"/>
      <c r="AD51" s="222"/>
      <c r="AE51" s="222"/>
      <c r="AF51" s="222"/>
      <c r="AG51" s="225"/>
      <c r="AH51" s="128"/>
      <c r="AI51" s="129"/>
      <c r="AJ51" s="129"/>
      <c r="AK51" s="130"/>
      <c r="AM51" s="72">
        <f t="shared" si="6"/>
        <v>0</v>
      </c>
      <c r="AN51" s="140">
        <f t="shared" si="9"/>
        <v>0</v>
      </c>
      <c r="AO51" s="190">
        <f t="shared" si="9"/>
        <v>0</v>
      </c>
      <c r="AP51" s="191">
        <f t="shared" si="9"/>
        <v>0</v>
      </c>
      <c r="AQ51" s="136">
        <f t="shared" si="9"/>
        <v>0</v>
      </c>
      <c r="AR51" s="152">
        <f t="shared" si="9"/>
        <v>0</v>
      </c>
      <c r="AS51" s="147">
        <f t="shared" si="9"/>
        <v>0</v>
      </c>
      <c r="AT51" s="150">
        <f t="shared" si="9"/>
        <v>0</v>
      </c>
      <c r="AU51" s="152">
        <f t="shared" si="9"/>
        <v>0</v>
      </c>
      <c r="AV51" s="152">
        <f t="shared" si="9"/>
        <v>0</v>
      </c>
      <c r="AW51" s="191">
        <f t="shared" si="9"/>
        <v>0</v>
      </c>
      <c r="AX51" s="147">
        <f t="shared" si="9"/>
        <v>0</v>
      </c>
      <c r="AY51" s="150">
        <f t="shared" si="9"/>
        <v>0</v>
      </c>
      <c r="AZ51" s="193">
        <f t="shared" si="9"/>
        <v>0</v>
      </c>
      <c r="BA51" s="136">
        <f t="shared" si="9"/>
        <v>0</v>
      </c>
      <c r="BB51" s="193">
        <f t="shared" si="9"/>
        <v>0</v>
      </c>
      <c r="BC51" s="193">
        <f t="shared" si="7"/>
        <v>0</v>
      </c>
      <c r="BD51" s="79"/>
      <c r="BE51" s="79"/>
      <c r="BF51" s="79"/>
      <c r="BG51" s="80"/>
      <c r="BI51" s="81"/>
    </row>
    <row r="52" spans="1:61" ht="30" customHeight="1" x14ac:dyDescent="0.15">
      <c r="A52" s="442"/>
      <c r="B52" s="230" t="s">
        <v>36</v>
      </c>
      <c r="C52" s="365"/>
      <c r="D52" s="366"/>
      <c r="E52" s="358"/>
      <c r="F52" s="346"/>
      <c r="G52" s="346"/>
      <c r="H52" s="346"/>
      <c r="I52" s="346"/>
      <c r="J52" s="367"/>
      <c r="K52" s="338"/>
      <c r="L52" s="341"/>
      <c r="M52" s="341"/>
      <c r="N52" s="341"/>
      <c r="O52" s="341"/>
      <c r="P52" s="189"/>
      <c r="Q52" s="338"/>
      <c r="R52" s="341"/>
      <c r="S52" s="341"/>
      <c r="T52" s="326"/>
      <c r="U52" s="340"/>
      <c r="V52" s="342"/>
      <c r="W52" s="328"/>
      <c r="X52" s="341"/>
      <c r="Y52" s="341"/>
      <c r="Z52" s="339"/>
      <c r="AA52" s="332"/>
      <c r="AB52" s="342"/>
      <c r="AC52" s="339"/>
      <c r="AD52" s="339"/>
      <c r="AE52" s="339"/>
      <c r="AF52" s="339"/>
      <c r="AG52" s="343"/>
      <c r="AH52" s="197"/>
      <c r="AI52" s="198"/>
      <c r="AJ52" s="198"/>
      <c r="AK52" s="199"/>
      <c r="AM52" s="72">
        <f t="shared" si="6"/>
        <v>0</v>
      </c>
      <c r="AN52" s="174">
        <f t="shared" si="9"/>
        <v>0</v>
      </c>
      <c r="AO52" s="200">
        <f t="shared" si="9"/>
        <v>0</v>
      </c>
      <c r="AP52" s="201">
        <f t="shared" si="9"/>
        <v>0</v>
      </c>
      <c r="AQ52" s="202">
        <f t="shared" si="9"/>
        <v>0</v>
      </c>
      <c r="AR52" s="203">
        <f t="shared" si="9"/>
        <v>0</v>
      </c>
      <c r="AS52" s="179">
        <f t="shared" si="9"/>
        <v>0</v>
      </c>
      <c r="AT52" s="200">
        <f t="shared" si="9"/>
        <v>0</v>
      </c>
      <c r="AU52" s="203">
        <f t="shared" si="9"/>
        <v>0</v>
      </c>
      <c r="AV52" s="203">
        <f t="shared" si="9"/>
        <v>0</v>
      </c>
      <c r="AW52" s="201">
        <f t="shared" si="9"/>
        <v>0</v>
      </c>
      <c r="AX52" s="179">
        <f t="shared" si="9"/>
        <v>0</v>
      </c>
      <c r="AY52" s="200">
        <f t="shared" si="9"/>
        <v>0</v>
      </c>
      <c r="AZ52" s="204">
        <f t="shared" si="9"/>
        <v>0</v>
      </c>
      <c r="BA52" s="202">
        <f t="shared" si="9"/>
        <v>0</v>
      </c>
      <c r="BB52" s="204">
        <f t="shared" si="9"/>
        <v>0</v>
      </c>
      <c r="BC52" s="204">
        <f t="shared" si="7"/>
        <v>0</v>
      </c>
      <c r="BD52" s="79"/>
      <c r="BE52" s="79"/>
      <c r="BF52" s="79"/>
      <c r="BG52" s="80"/>
      <c r="BI52" s="81"/>
    </row>
    <row r="53" spans="1:61" ht="30" customHeight="1" x14ac:dyDescent="0.15">
      <c r="A53" s="442"/>
      <c r="B53" s="230" t="s">
        <v>36</v>
      </c>
      <c r="C53" s="365"/>
      <c r="D53" s="366"/>
      <c r="E53" s="338"/>
      <c r="F53" s="339"/>
      <c r="G53" s="339"/>
      <c r="H53" s="339"/>
      <c r="I53" s="339"/>
      <c r="J53" s="340"/>
      <c r="K53" s="338"/>
      <c r="L53" s="341"/>
      <c r="M53" s="341"/>
      <c r="N53" s="341"/>
      <c r="O53" s="341"/>
      <c r="P53" s="189"/>
      <c r="Q53" s="338"/>
      <c r="R53" s="368"/>
      <c r="S53" s="368"/>
      <c r="T53" s="369"/>
      <c r="U53" s="367"/>
      <c r="V53" s="342"/>
      <c r="W53" s="328"/>
      <c r="X53" s="341"/>
      <c r="Y53" s="341"/>
      <c r="Z53" s="339"/>
      <c r="AA53" s="332"/>
      <c r="AB53" s="342"/>
      <c r="AC53" s="339"/>
      <c r="AD53" s="339"/>
      <c r="AE53" s="339"/>
      <c r="AF53" s="339"/>
      <c r="AG53" s="343"/>
      <c r="AH53" s="197"/>
      <c r="AI53" s="198"/>
      <c r="AJ53" s="198"/>
      <c r="AK53" s="199"/>
      <c r="AM53" s="72">
        <f t="shared" si="6"/>
        <v>0</v>
      </c>
      <c r="AN53" s="174">
        <f t="shared" si="9"/>
        <v>0</v>
      </c>
      <c r="AO53" s="200">
        <f t="shared" si="9"/>
        <v>0</v>
      </c>
      <c r="AP53" s="201">
        <f t="shared" si="9"/>
        <v>0</v>
      </c>
      <c r="AQ53" s="202">
        <f t="shared" si="9"/>
        <v>0</v>
      </c>
      <c r="AR53" s="203">
        <f t="shared" si="9"/>
        <v>0</v>
      </c>
      <c r="AS53" s="179">
        <f t="shared" si="9"/>
        <v>0</v>
      </c>
      <c r="AT53" s="200">
        <f t="shared" si="9"/>
        <v>0</v>
      </c>
      <c r="AU53" s="203">
        <f t="shared" si="9"/>
        <v>0</v>
      </c>
      <c r="AV53" s="203">
        <f t="shared" si="9"/>
        <v>0</v>
      </c>
      <c r="AW53" s="201">
        <f t="shared" si="9"/>
        <v>0</v>
      </c>
      <c r="AX53" s="179">
        <f t="shared" si="9"/>
        <v>0</v>
      </c>
      <c r="AY53" s="200">
        <f t="shared" si="9"/>
        <v>0</v>
      </c>
      <c r="AZ53" s="204">
        <f t="shared" si="9"/>
        <v>0</v>
      </c>
      <c r="BA53" s="202">
        <f t="shared" si="9"/>
        <v>0</v>
      </c>
      <c r="BB53" s="204">
        <f t="shared" si="9"/>
        <v>0</v>
      </c>
      <c r="BC53" s="204">
        <f t="shared" si="7"/>
        <v>0</v>
      </c>
      <c r="BD53" s="79"/>
      <c r="BE53" s="79"/>
      <c r="BF53" s="79"/>
      <c r="BG53" s="80"/>
      <c r="BI53" s="81"/>
    </row>
    <row r="54" spans="1:61" ht="30" customHeight="1" x14ac:dyDescent="0.15">
      <c r="A54" s="442"/>
      <c r="B54" s="230" t="s">
        <v>36</v>
      </c>
      <c r="C54" s="365"/>
      <c r="D54" s="366"/>
      <c r="E54" s="338"/>
      <c r="F54" s="339"/>
      <c r="G54" s="339"/>
      <c r="H54" s="339"/>
      <c r="I54" s="339"/>
      <c r="J54" s="340"/>
      <c r="K54" s="338"/>
      <c r="L54" s="341"/>
      <c r="M54" s="341"/>
      <c r="N54" s="341"/>
      <c r="O54" s="341"/>
      <c r="P54" s="347"/>
      <c r="Q54" s="338"/>
      <c r="R54" s="341"/>
      <c r="S54" s="341"/>
      <c r="T54" s="326"/>
      <c r="U54" s="340"/>
      <c r="V54" s="359"/>
      <c r="W54" s="370"/>
      <c r="X54" s="368"/>
      <c r="Y54" s="368"/>
      <c r="Z54" s="346"/>
      <c r="AA54" s="371"/>
      <c r="AB54" s="359"/>
      <c r="AC54" s="346"/>
      <c r="AD54" s="346"/>
      <c r="AE54" s="346"/>
      <c r="AF54" s="346"/>
      <c r="AG54" s="347"/>
      <c r="AH54" s="197"/>
      <c r="AI54" s="198"/>
      <c r="AJ54" s="198"/>
      <c r="AK54" s="199"/>
      <c r="AM54" s="72">
        <f t="shared" si="6"/>
        <v>0</v>
      </c>
      <c r="AN54" s="174">
        <f t="shared" si="9"/>
        <v>0</v>
      </c>
      <c r="AO54" s="200">
        <f t="shared" si="9"/>
        <v>0</v>
      </c>
      <c r="AP54" s="201">
        <f t="shared" si="9"/>
        <v>0</v>
      </c>
      <c r="AQ54" s="202">
        <f t="shared" si="9"/>
        <v>0</v>
      </c>
      <c r="AR54" s="203">
        <f t="shared" si="9"/>
        <v>0</v>
      </c>
      <c r="AS54" s="179">
        <f t="shared" si="9"/>
        <v>0</v>
      </c>
      <c r="AT54" s="200">
        <f t="shared" si="9"/>
        <v>0</v>
      </c>
      <c r="AU54" s="203">
        <f t="shared" si="9"/>
        <v>0</v>
      </c>
      <c r="AV54" s="203">
        <f t="shared" si="9"/>
        <v>0</v>
      </c>
      <c r="AW54" s="201">
        <f t="shared" si="9"/>
        <v>0</v>
      </c>
      <c r="AX54" s="179">
        <f t="shared" si="9"/>
        <v>0</v>
      </c>
      <c r="AY54" s="200">
        <f t="shared" si="9"/>
        <v>0</v>
      </c>
      <c r="AZ54" s="204">
        <f t="shared" si="9"/>
        <v>0</v>
      </c>
      <c r="BA54" s="202">
        <f t="shared" si="9"/>
        <v>0</v>
      </c>
      <c r="BB54" s="204">
        <f t="shared" si="9"/>
        <v>0</v>
      </c>
      <c r="BC54" s="204">
        <f t="shared" si="7"/>
        <v>0</v>
      </c>
      <c r="BD54" s="79"/>
      <c r="BE54" s="79"/>
      <c r="BF54" s="79"/>
      <c r="BG54" s="80"/>
      <c r="BI54" s="81"/>
    </row>
    <row r="55" spans="1:61" ht="30" customHeight="1" x14ac:dyDescent="0.15">
      <c r="A55" s="442"/>
      <c r="B55" s="230" t="s">
        <v>36</v>
      </c>
      <c r="C55" s="365"/>
      <c r="D55" s="366"/>
      <c r="E55" s="358"/>
      <c r="F55" s="346"/>
      <c r="G55" s="346"/>
      <c r="H55" s="346"/>
      <c r="I55" s="346"/>
      <c r="J55" s="367"/>
      <c r="K55" s="358"/>
      <c r="L55" s="368"/>
      <c r="M55" s="368"/>
      <c r="N55" s="368"/>
      <c r="O55" s="368"/>
      <c r="P55" s="189"/>
      <c r="Q55" s="338"/>
      <c r="R55" s="341"/>
      <c r="S55" s="341"/>
      <c r="T55" s="326"/>
      <c r="U55" s="340"/>
      <c r="V55" s="359"/>
      <c r="W55" s="370"/>
      <c r="X55" s="368"/>
      <c r="Y55" s="368"/>
      <c r="Z55" s="346"/>
      <c r="AA55" s="371"/>
      <c r="AB55" s="359"/>
      <c r="AC55" s="346"/>
      <c r="AD55" s="346"/>
      <c r="AE55" s="346"/>
      <c r="AF55" s="346"/>
      <c r="AG55" s="347"/>
      <c r="AH55" s="197"/>
      <c r="AI55" s="198"/>
      <c r="AJ55" s="198"/>
      <c r="AK55" s="199"/>
      <c r="AM55" s="72">
        <f t="shared" si="6"/>
        <v>0</v>
      </c>
      <c r="AN55" s="174">
        <f t="shared" si="9"/>
        <v>0</v>
      </c>
      <c r="AO55" s="200">
        <f t="shared" si="9"/>
        <v>0</v>
      </c>
      <c r="AP55" s="201">
        <f t="shared" si="9"/>
        <v>0</v>
      </c>
      <c r="AQ55" s="202">
        <f t="shared" si="9"/>
        <v>0</v>
      </c>
      <c r="AR55" s="203">
        <f t="shared" si="9"/>
        <v>0</v>
      </c>
      <c r="AS55" s="179">
        <f t="shared" si="9"/>
        <v>0</v>
      </c>
      <c r="AT55" s="200">
        <f t="shared" si="9"/>
        <v>0</v>
      </c>
      <c r="AU55" s="203">
        <f t="shared" si="9"/>
        <v>0</v>
      </c>
      <c r="AV55" s="203">
        <f t="shared" si="9"/>
        <v>0</v>
      </c>
      <c r="AW55" s="201">
        <f t="shared" si="9"/>
        <v>0</v>
      </c>
      <c r="AX55" s="179">
        <f t="shared" si="9"/>
        <v>0</v>
      </c>
      <c r="AY55" s="200">
        <f t="shared" si="9"/>
        <v>0</v>
      </c>
      <c r="AZ55" s="204">
        <f t="shared" si="9"/>
        <v>0</v>
      </c>
      <c r="BA55" s="202">
        <f t="shared" si="9"/>
        <v>0</v>
      </c>
      <c r="BB55" s="204">
        <f t="shared" si="9"/>
        <v>0</v>
      </c>
      <c r="BC55" s="204">
        <f t="shared" si="7"/>
        <v>0</v>
      </c>
      <c r="BD55" s="79"/>
      <c r="BE55" s="79"/>
      <c r="BF55" s="79"/>
      <c r="BG55" s="80"/>
      <c r="BI55" s="81"/>
    </row>
    <row r="56" spans="1:61" ht="30" customHeight="1" x14ac:dyDescent="0.15">
      <c r="A56" s="442"/>
      <c r="B56" s="230" t="s">
        <v>36</v>
      </c>
      <c r="C56" s="365"/>
      <c r="D56" s="366"/>
      <c r="E56" s="372"/>
      <c r="F56" s="373"/>
      <c r="G56" s="346"/>
      <c r="H56" s="346"/>
      <c r="I56" s="346"/>
      <c r="J56" s="367"/>
      <c r="K56" s="338"/>
      <c r="L56" s="341"/>
      <c r="M56" s="368"/>
      <c r="N56" s="368"/>
      <c r="O56" s="368"/>
      <c r="P56" s="347"/>
      <c r="Q56" s="358"/>
      <c r="R56" s="368"/>
      <c r="S56" s="368"/>
      <c r="T56" s="369"/>
      <c r="U56" s="367"/>
      <c r="V56" s="342"/>
      <c r="W56" s="328"/>
      <c r="X56" s="368"/>
      <c r="Y56" s="368"/>
      <c r="Z56" s="346"/>
      <c r="AA56" s="371"/>
      <c r="AB56" s="342"/>
      <c r="AC56" s="339"/>
      <c r="AD56" s="346"/>
      <c r="AE56" s="346"/>
      <c r="AF56" s="346"/>
      <c r="AG56" s="347"/>
      <c r="AH56" s="197"/>
      <c r="AI56" s="198"/>
      <c r="AJ56" s="198"/>
      <c r="AK56" s="199"/>
      <c r="AM56" s="72">
        <f t="shared" si="6"/>
        <v>0</v>
      </c>
      <c r="AN56" s="174">
        <f t="shared" ref="AN56:AZ65" si="10">COUNTIF($E56:$AK56,"*"&amp;AN$66&amp;"*")</f>
        <v>0</v>
      </c>
      <c r="AO56" s="200">
        <f t="shared" si="10"/>
        <v>0</v>
      </c>
      <c r="AP56" s="201">
        <f t="shared" si="10"/>
        <v>0</v>
      </c>
      <c r="AQ56" s="202">
        <f t="shared" si="10"/>
        <v>0</v>
      </c>
      <c r="AR56" s="203">
        <f t="shared" si="10"/>
        <v>0</v>
      </c>
      <c r="AS56" s="179">
        <f t="shared" si="10"/>
        <v>0</v>
      </c>
      <c r="AT56" s="200">
        <f t="shared" si="10"/>
        <v>0</v>
      </c>
      <c r="AU56" s="203">
        <f t="shared" si="10"/>
        <v>0</v>
      </c>
      <c r="AV56" s="203">
        <f t="shared" si="10"/>
        <v>0</v>
      </c>
      <c r="AW56" s="201">
        <f t="shared" si="10"/>
        <v>0</v>
      </c>
      <c r="AX56" s="179">
        <f t="shared" si="10"/>
        <v>0</v>
      </c>
      <c r="AY56" s="200">
        <f t="shared" si="10"/>
        <v>0</v>
      </c>
      <c r="AZ56" s="204">
        <f t="shared" si="10"/>
        <v>0</v>
      </c>
      <c r="BA56" s="202">
        <f>COUNTIF($F56:$AK56,"*"&amp;BA$66&amp;"*")</f>
        <v>0</v>
      </c>
      <c r="BB56" s="204">
        <f>COUNTIF($F56:$AK56,"*"&amp;BB$66&amp;"*")</f>
        <v>0</v>
      </c>
      <c r="BC56" s="204">
        <f t="shared" si="7"/>
        <v>0</v>
      </c>
      <c r="BD56" s="79"/>
      <c r="BE56" s="79"/>
      <c r="BF56" s="79"/>
      <c r="BG56" s="80"/>
      <c r="BI56" s="81"/>
    </row>
    <row r="57" spans="1:61" ht="30" customHeight="1" x14ac:dyDescent="0.15">
      <c r="A57" s="442"/>
      <c r="B57" s="230" t="s">
        <v>36</v>
      </c>
      <c r="C57" s="365"/>
      <c r="D57" s="366"/>
      <c r="E57" s="358"/>
      <c r="F57" s="346"/>
      <c r="G57" s="346"/>
      <c r="H57" s="346"/>
      <c r="I57" s="346"/>
      <c r="J57" s="367"/>
      <c r="K57" s="358"/>
      <c r="L57" s="368"/>
      <c r="M57" s="341"/>
      <c r="N57" s="341"/>
      <c r="O57" s="368"/>
      <c r="P57" s="347"/>
      <c r="Q57" s="358"/>
      <c r="R57" s="368"/>
      <c r="S57" s="368"/>
      <c r="T57" s="369"/>
      <c r="U57" s="367"/>
      <c r="V57" s="359"/>
      <c r="W57" s="370"/>
      <c r="X57" s="368"/>
      <c r="Y57" s="368"/>
      <c r="Z57" s="346"/>
      <c r="AA57" s="371"/>
      <c r="AB57" s="359"/>
      <c r="AC57" s="346"/>
      <c r="AD57" s="346"/>
      <c r="AE57" s="346"/>
      <c r="AF57" s="346"/>
      <c r="AG57" s="347"/>
      <c r="AH57" s="197"/>
      <c r="AI57" s="198"/>
      <c r="AJ57" s="198"/>
      <c r="AK57" s="199"/>
      <c r="AM57" s="72">
        <f t="shared" si="6"/>
        <v>0</v>
      </c>
      <c r="AN57" s="174">
        <f t="shared" si="10"/>
        <v>0</v>
      </c>
      <c r="AO57" s="200">
        <f t="shared" si="10"/>
        <v>0</v>
      </c>
      <c r="AP57" s="201">
        <f t="shared" si="10"/>
        <v>0</v>
      </c>
      <c r="AQ57" s="202">
        <f t="shared" si="10"/>
        <v>0</v>
      </c>
      <c r="AR57" s="203">
        <f t="shared" si="10"/>
        <v>0</v>
      </c>
      <c r="AS57" s="179">
        <f t="shared" si="10"/>
        <v>0</v>
      </c>
      <c r="AT57" s="200">
        <f t="shared" si="10"/>
        <v>0</v>
      </c>
      <c r="AU57" s="203">
        <f t="shared" si="10"/>
        <v>0</v>
      </c>
      <c r="AV57" s="203">
        <f t="shared" si="10"/>
        <v>0</v>
      </c>
      <c r="AW57" s="201">
        <f t="shared" si="10"/>
        <v>0</v>
      </c>
      <c r="AX57" s="179">
        <f t="shared" si="10"/>
        <v>0</v>
      </c>
      <c r="AY57" s="200">
        <f t="shared" si="10"/>
        <v>0</v>
      </c>
      <c r="AZ57" s="204">
        <f t="shared" si="10"/>
        <v>0</v>
      </c>
      <c r="BA57" s="202">
        <f t="shared" ref="BA57:BB65" si="11">COUNTIF($E57:$AK57,"*"&amp;BA$66&amp;"*")</f>
        <v>0</v>
      </c>
      <c r="BB57" s="204">
        <f t="shared" si="11"/>
        <v>0</v>
      </c>
      <c r="BC57" s="204">
        <f t="shared" si="7"/>
        <v>0</v>
      </c>
      <c r="BD57" s="79"/>
      <c r="BE57" s="79"/>
      <c r="BF57" s="79"/>
      <c r="BG57" s="80"/>
      <c r="BI57" s="81"/>
    </row>
    <row r="58" spans="1:61" ht="30" customHeight="1" x14ac:dyDescent="0.15">
      <c r="A58" s="442"/>
      <c r="B58" s="230" t="s">
        <v>36</v>
      </c>
      <c r="C58" s="365"/>
      <c r="D58" s="366"/>
      <c r="E58" s="338"/>
      <c r="F58" s="339"/>
      <c r="G58" s="339"/>
      <c r="H58" s="339"/>
      <c r="I58" s="339"/>
      <c r="J58" s="340"/>
      <c r="K58" s="338"/>
      <c r="L58" s="341"/>
      <c r="M58" s="341"/>
      <c r="N58" s="341"/>
      <c r="O58" s="341"/>
      <c r="P58" s="347"/>
      <c r="Q58" s="322"/>
      <c r="R58" s="341"/>
      <c r="S58" s="341"/>
      <c r="T58" s="326"/>
      <c r="U58" s="340"/>
      <c r="V58" s="342"/>
      <c r="W58" s="328"/>
      <c r="X58" s="341"/>
      <c r="Y58" s="341"/>
      <c r="Z58" s="339"/>
      <c r="AA58" s="332"/>
      <c r="AB58" s="342"/>
      <c r="AC58" s="339"/>
      <c r="AD58" s="339"/>
      <c r="AE58" s="339"/>
      <c r="AF58" s="339"/>
      <c r="AG58" s="343"/>
      <c r="AH58" s="197"/>
      <c r="AI58" s="198"/>
      <c r="AJ58" s="198"/>
      <c r="AK58" s="199"/>
      <c r="AM58" s="72">
        <f t="shared" si="6"/>
        <v>0</v>
      </c>
      <c r="AN58" s="231">
        <f t="shared" si="10"/>
        <v>0</v>
      </c>
      <c r="AO58" s="232">
        <f t="shared" si="10"/>
        <v>0</v>
      </c>
      <c r="AP58" s="233">
        <f t="shared" si="10"/>
        <v>0</v>
      </c>
      <c r="AQ58" s="234">
        <f t="shared" si="10"/>
        <v>0</v>
      </c>
      <c r="AR58" s="235">
        <f t="shared" si="10"/>
        <v>0</v>
      </c>
      <c r="AS58" s="236">
        <f t="shared" si="10"/>
        <v>0</v>
      </c>
      <c r="AT58" s="232">
        <f t="shared" si="10"/>
        <v>0</v>
      </c>
      <c r="AU58" s="235">
        <f t="shared" si="10"/>
        <v>0</v>
      </c>
      <c r="AV58" s="235">
        <f t="shared" si="10"/>
        <v>0</v>
      </c>
      <c r="AW58" s="233">
        <f t="shared" si="10"/>
        <v>0</v>
      </c>
      <c r="AX58" s="236">
        <f t="shared" si="10"/>
        <v>0</v>
      </c>
      <c r="AY58" s="232">
        <f t="shared" si="10"/>
        <v>0</v>
      </c>
      <c r="AZ58" s="237">
        <f t="shared" si="10"/>
        <v>0</v>
      </c>
      <c r="BA58" s="234">
        <f t="shared" si="11"/>
        <v>0</v>
      </c>
      <c r="BB58" s="237">
        <f t="shared" si="11"/>
        <v>0</v>
      </c>
      <c r="BC58" s="237">
        <f t="shared" si="7"/>
        <v>0</v>
      </c>
      <c r="BD58" s="79"/>
      <c r="BE58" s="79"/>
      <c r="BF58" s="79"/>
      <c r="BG58" s="80"/>
      <c r="BI58" s="81"/>
    </row>
    <row r="59" spans="1:61" ht="30" customHeight="1" x14ac:dyDescent="0.15">
      <c r="A59" s="442"/>
      <c r="B59" s="230" t="s">
        <v>36</v>
      </c>
      <c r="C59" s="365"/>
      <c r="D59" s="366"/>
      <c r="E59" s="338"/>
      <c r="F59" s="339"/>
      <c r="G59" s="339"/>
      <c r="H59" s="339"/>
      <c r="I59" s="339"/>
      <c r="J59" s="340"/>
      <c r="K59" s="338"/>
      <c r="L59" s="341"/>
      <c r="M59" s="341"/>
      <c r="N59" s="341"/>
      <c r="O59" s="341"/>
      <c r="P59" s="347"/>
      <c r="Q59" s="322"/>
      <c r="R59" s="341"/>
      <c r="S59" s="341"/>
      <c r="T59" s="326"/>
      <c r="U59" s="340"/>
      <c r="V59" s="342"/>
      <c r="W59" s="328"/>
      <c r="X59" s="341"/>
      <c r="Y59" s="341"/>
      <c r="Z59" s="339"/>
      <c r="AA59" s="332"/>
      <c r="AB59" s="342"/>
      <c r="AC59" s="339"/>
      <c r="AD59" s="339"/>
      <c r="AE59" s="339"/>
      <c r="AF59" s="339"/>
      <c r="AG59" s="343"/>
      <c r="AH59" s="197"/>
      <c r="AI59" s="198"/>
      <c r="AJ59" s="198"/>
      <c r="AK59" s="199"/>
      <c r="AM59" s="72">
        <f t="shared" si="6"/>
        <v>0</v>
      </c>
      <c r="AN59" s="231">
        <f t="shared" si="10"/>
        <v>0</v>
      </c>
      <c r="AO59" s="232">
        <f t="shared" si="10"/>
        <v>0</v>
      </c>
      <c r="AP59" s="233">
        <f t="shared" si="10"/>
        <v>0</v>
      </c>
      <c r="AQ59" s="234">
        <f t="shared" si="10"/>
        <v>0</v>
      </c>
      <c r="AR59" s="235">
        <f t="shared" si="10"/>
        <v>0</v>
      </c>
      <c r="AS59" s="236">
        <f t="shared" si="10"/>
        <v>0</v>
      </c>
      <c r="AT59" s="232">
        <f t="shared" si="10"/>
        <v>0</v>
      </c>
      <c r="AU59" s="235">
        <f t="shared" si="10"/>
        <v>0</v>
      </c>
      <c r="AV59" s="235">
        <f t="shared" si="10"/>
        <v>0</v>
      </c>
      <c r="AW59" s="233">
        <f t="shared" si="10"/>
        <v>0</v>
      </c>
      <c r="AX59" s="236">
        <f t="shared" si="10"/>
        <v>0</v>
      </c>
      <c r="AY59" s="232">
        <f t="shared" si="10"/>
        <v>0</v>
      </c>
      <c r="AZ59" s="237">
        <f t="shared" si="10"/>
        <v>0</v>
      </c>
      <c r="BA59" s="234">
        <f t="shared" si="11"/>
        <v>0</v>
      </c>
      <c r="BB59" s="237">
        <f t="shared" si="11"/>
        <v>0</v>
      </c>
      <c r="BC59" s="237">
        <f t="shared" si="7"/>
        <v>0</v>
      </c>
      <c r="BD59" s="79"/>
      <c r="BE59" s="79"/>
      <c r="BF59" s="79"/>
      <c r="BG59" s="80"/>
      <c r="BI59" s="81"/>
    </row>
    <row r="60" spans="1:61" ht="30" customHeight="1" x14ac:dyDescent="0.15">
      <c r="A60" s="442"/>
      <c r="B60" s="230" t="s">
        <v>36</v>
      </c>
      <c r="C60" s="365"/>
      <c r="D60" s="366"/>
      <c r="E60" s="358"/>
      <c r="F60" s="346"/>
      <c r="G60" s="346"/>
      <c r="H60" s="346"/>
      <c r="I60" s="346"/>
      <c r="J60" s="367"/>
      <c r="K60" s="358"/>
      <c r="L60" s="368"/>
      <c r="M60" s="368"/>
      <c r="N60" s="368"/>
      <c r="O60" s="368"/>
      <c r="P60" s="347"/>
      <c r="Q60" s="373"/>
      <c r="R60" s="368"/>
      <c r="S60" s="368"/>
      <c r="T60" s="369"/>
      <c r="U60" s="367"/>
      <c r="V60" s="359"/>
      <c r="W60" s="370"/>
      <c r="X60" s="368"/>
      <c r="Y60" s="368"/>
      <c r="Z60" s="346"/>
      <c r="AA60" s="371"/>
      <c r="AB60" s="359"/>
      <c r="AC60" s="346"/>
      <c r="AD60" s="346"/>
      <c r="AE60" s="346"/>
      <c r="AF60" s="346"/>
      <c r="AG60" s="347"/>
      <c r="AH60" s="197"/>
      <c r="AI60" s="198"/>
      <c r="AJ60" s="198"/>
      <c r="AK60" s="199"/>
      <c r="AM60" s="72">
        <f t="shared" si="6"/>
        <v>0</v>
      </c>
      <c r="AN60" s="231">
        <f t="shared" si="10"/>
        <v>0</v>
      </c>
      <c r="AO60" s="232">
        <f t="shared" si="10"/>
        <v>0</v>
      </c>
      <c r="AP60" s="233">
        <f t="shared" si="10"/>
        <v>0</v>
      </c>
      <c r="AQ60" s="234">
        <f t="shared" si="10"/>
        <v>0</v>
      </c>
      <c r="AR60" s="235">
        <f t="shared" si="10"/>
        <v>0</v>
      </c>
      <c r="AS60" s="236">
        <f t="shared" si="10"/>
        <v>0</v>
      </c>
      <c r="AT60" s="232">
        <f t="shared" si="10"/>
        <v>0</v>
      </c>
      <c r="AU60" s="235">
        <f t="shared" si="10"/>
        <v>0</v>
      </c>
      <c r="AV60" s="235">
        <f t="shared" si="10"/>
        <v>0</v>
      </c>
      <c r="AW60" s="233">
        <f t="shared" si="10"/>
        <v>0</v>
      </c>
      <c r="AX60" s="236">
        <f t="shared" si="10"/>
        <v>0</v>
      </c>
      <c r="AY60" s="232">
        <f t="shared" si="10"/>
        <v>0</v>
      </c>
      <c r="AZ60" s="237">
        <f t="shared" si="10"/>
        <v>0</v>
      </c>
      <c r="BA60" s="234">
        <f t="shared" si="11"/>
        <v>0</v>
      </c>
      <c r="BB60" s="237">
        <f t="shared" si="11"/>
        <v>0</v>
      </c>
      <c r="BC60" s="237">
        <f t="shared" si="7"/>
        <v>0</v>
      </c>
      <c r="BD60" s="79"/>
      <c r="BE60" s="79"/>
      <c r="BF60" s="79"/>
      <c r="BG60" s="80"/>
      <c r="BI60" s="81"/>
    </row>
    <row r="61" spans="1:61" ht="30" customHeight="1" x14ac:dyDescent="0.15">
      <c r="A61" s="442"/>
      <c r="B61" s="230" t="s">
        <v>36</v>
      </c>
      <c r="C61" s="377"/>
      <c r="D61" s="378"/>
      <c r="E61" s="379"/>
      <c r="F61" s="380"/>
      <c r="G61" s="380"/>
      <c r="H61" s="380"/>
      <c r="I61" s="380"/>
      <c r="J61" s="381"/>
      <c r="K61" s="379"/>
      <c r="L61" s="382"/>
      <c r="M61" s="382"/>
      <c r="N61" s="382"/>
      <c r="O61" s="382"/>
      <c r="P61" s="347"/>
      <c r="Q61" s="383"/>
      <c r="R61" s="382"/>
      <c r="S61" s="382"/>
      <c r="T61" s="384"/>
      <c r="U61" s="381"/>
      <c r="V61" s="385"/>
      <c r="W61" s="386"/>
      <c r="X61" s="382"/>
      <c r="Y61" s="382"/>
      <c r="Z61" s="380"/>
      <c r="AA61" s="387"/>
      <c r="AB61" s="385"/>
      <c r="AC61" s="380"/>
      <c r="AD61" s="380"/>
      <c r="AE61" s="380"/>
      <c r="AF61" s="380"/>
      <c r="AG61" s="388"/>
      <c r="AH61" s="155"/>
      <c r="AI61" s="156"/>
      <c r="AJ61" s="156"/>
      <c r="AK61" s="157"/>
      <c r="AM61" s="72">
        <f t="shared" si="6"/>
        <v>0</v>
      </c>
      <c r="AN61" s="231">
        <f t="shared" si="10"/>
        <v>0</v>
      </c>
      <c r="AO61" s="232">
        <f t="shared" si="10"/>
        <v>0</v>
      </c>
      <c r="AP61" s="233">
        <f t="shared" si="10"/>
        <v>0</v>
      </c>
      <c r="AQ61" s="234">
        <f t="shared" si="10"/>
        <v>0</v>
      </c>
      <c r="AR61" s="235">
        <f t="shared" si="10"/>
        <v>0</v>
      </c>
      <c r="AS61" s="236">
        <f t="shared" si="10"/>
        <v>0</v>
      </c>
      <c r="AT61" s="232">
        <f t="shared" si="10"/>
        <v>0</v>
      </c>
      <c r="AU61" s="235">
        <f t="shared" si="10"/>
        <v>0</v>
      </c>
      <c r="AV61" s="235">
        <f t="shared" si="10"/>
        <v>0</v>
      </c>
      <c r="AW61" s="233">
        <f t="shared" si="10"/>
        <v>0</v>
      </c>
      <c r="AX61" s="236">
        <f t="shared" si="10"/>
        <v>0</v>
      </c>
      <c r="AY61" s="232">
        <f t="shared" si="10"/>
        <v>0</v>
      </c>
      <c r="AZ61" s="237">
        <f t="shared" si="10"/>
        <v>0</v>
      </c>
      <c r="BA61" s="234">
        <f t="shared" si="11"/>
        <v>0</v>
      </c>
      <c r="BB61" s="237">
        <f t="shared" si="11"/>
        <v>0</v>
      </c>
      <c r="BC61" s="237">
        <f t="shared" ref="BC61:BC62" si="12">SUM(AN61:AZ61)</f>
        <v>0</v>
      </c>
      <c r="BD61" s="79"/>
      <c r="BE61" s="79"/>
      <c r="BF61" s="79"/>
      <c r="BG61" s="80"/>
      <c r="BI61" s="81"/>
    </row>
    <row r="62" spans="1:61" ht="30" customHeight="1" x14ac:dyDescent="0.15">
      <c r="A62" s="442"/>
      <c r="B62" s="230" t="s">
        <v>36</v>
      </c>
      <c r="C62" s="377"/>
      <c r="D62" s="378"/>
      <c r="E62" s="379"/>
      <c r="F62" s="380"/>
      <c r="G62" s="380"/>
      <c r="H62" s="380"/>
      <c r="I62" s="380"/>
      <c r="J62" s="381"/>
      <c r="K62" s="379"/>
      <c r="L62" s="382"/>
      <c r="M62" s="382"/>
      <c r="N62" s="382"/>
      <c r="O62" s="382"/>
      <c r="P62" s="347"/>
      <c r="Q62" s="383"/>
      <c r="R62" s="382"/>
      <c r="S62" s="382"/>
      <c r="T62" s="384"/>
      <c r="U62" s="381"/>
      <c r="V62" s="385"/>
      <c r="W62" s="386"/>
      <c r="X62" s="382"/>
      <c r="Y62" s="382"/>
      <c r="Z62" s="380"/>
      <c r="AA62" s="387"/>
      <c r="AB62" s="385"/>
      <c r="AC62" s="380"/>
      <c r="AD62" s="380"/>
      <c r="AE62" s="380"/>
      <c r="AF62" s="380"/>
      <c r="AG62" s="388"/>
      <c r="AH62" s="155"/>
      <c r="AI62" s="156"/>
      <c r="AJ62" s="156"/>
      <c r="AK62" s="157"/>
      <c r="AM62" s="72">
        <f t="shared" si="6"/>
        <v>0</v>
      </c>
      <c r="AN62" s="231">
        <f t="shared" si="10"/>
        <v>0</v>
      </c>
      <c r="AO62" s="232">
        <f t="shared" si="10"/>
        <v>0</v>
      </c>
      <c r="AP62" s="233">
        <f t="shared" si="10"/>
        <v>0</v>
      </c>
      <c r="AQ62" s="234">
        <f t="shared" si="10"/>
        <v>0</v>
      </c>
      <c r="AR62" s="235">
        <f t="shared" si="10"/>
        <v>0</v>
      </c>
      <c r="AS62" s="236">
        <f t="shared" si="10"/>
        <v>0</v>
      </c>
      <c r="AT62" s="232">
        <f t="shared" si="10"/>
        <v>0</v>
      </c>
      <c r="AU62" s="235">
        <f t="shared" si="10"/>
        <v>0</v>
      </c>
      <c r="AV62" s="235">
        <f t="shared" si="10"/>
        <v>0</v>
      </c>
      <c r="AW62" s="233">
        <f t="shared" si="10"/>
        <v>0</v>
      </c>
      <c r="AX62" s="236">
        <f t="shared" si="10"/>
        <v>0</v>
      </c>
      <c r="AY62" s="232">
        <f t="shared" si="10"/>
        <v>0</v>
      </c>
      <c r="AZ62" s="237">
        <f t="shared" si="10"/>
        <v>0</v>
      </c>
      <c r="BA62" s="234">
        <f t="shared" si="11"/>
        <v>0</v>
      </c>
      <c r="BB62" s="237">
        <f t="shared" si="11"/>
        <v>0</v>
      </c>
      <c r="BC62" s="237">
        <f t="shared" si="12"/>
        <v>0</v>
      </c>
      <c r="BD62" s="79"/>
      <c r="BE62" s="79"/>
      <c r="BF62" s="79"/>
      <c r="BG62" s="80"/>
      <c r="BI62" s="81"/>
    </row>
    <row r="63" spans="1:61" ht="30" customHeight="1" x14ac:dyDescent="0.15">
      <c r="A63" s="442"/>
      <c r="B63" s="230" t="s">
        <v>36</v>
      </c>
      <c r="C63" s="365"/>
      <c r="D63" s="366"/>
      <c r="E63" s="338"/>
      <c r="F63" s="339"/>
      <c r="G63" s="339"/>
      <c r="H63" s="339"/>
      <c r="I63" s="339"/>
      <c r="J63" s="340"/>
      <c r="K63" s="338"/>
      <c r="L63" s="341"/>
      <c r="M63" s="341"/>
      <c r="N63" s="341"/>
      <c r="O63" s="341"/>
      <c r="P63" s="347"/>
      <c r="Q63" s="322"/>
      <c r="R63" s="341"/>
      <c r="S63" s="341"/>
      <c r="T63" s="326"/>
      <c r="U63" s="340"/>
      <c r="V63" s="342"/>
      <c r="W63" s="328"/>
      <c r="X63" s="341"/>
      <c r="Y63" s="341"/>
      <c r="Z63" s="339"/>
      <c r="AA63" s="332"/>
      <c r="AB63" s="342"/>
      <c r="AC63" s="339"/>
      <c r="AD63" s="339"/>
      <c r="AE63" s="339"/>
      <c r="AF63" s="339"/>
      <c r="AG63" s="343"/>
      <c r="AH63" s="197"/>
      <c r="AI63" s="198"/>
      <c r="AJ63" s="198"/>
      <c r="AK63" s="199"/>
      <c r="AM63" s="72">
        <f t="shared" si="6"/>
        <v>0</v>
      </c>
      <c r="AN63" s="231">
        <f t="shared" si="10"/>
        <v>0</v>
      </c>
      <c r="AO63" s="232">
        <f t="shared" si="10"/>
        <v>0</v>
      </c>
      <c r="AP63" s="233">
        <f t="shared" si="10"/>
        <v>0</v>
      </c>
      <c r="AQ63" s="234">
        <f t="shared" si="10"/>
        <v>0</v>
      </c>
      <c r="AR63" s="235">
        <f t="shared" si="10"/>
        <v>0</v>
      </c>
      <c r="AS63" s="236">
        <f t="shared" si="10"/>
        <v>0</v>
      </c>
      <c r="AT63" s="232">
        <f t="shared" si="10"/>
        <v>0</v>
      </c>
      <c r="AU63" s="235">
        <f t="shared" si="10"/>
        <v>0</v>
      </c>
      <c r="AV63" s="235">
        <f t="shared" si="10"/>
        <v>0</v>
      </c>
      <c r="AW63" s="233">
        <f t="shared" si="10"/>
        <v>0</v>
      </c>
      <c r="AX63" s="236">
        <f t="shared" si="10"/>
        <v>0</v>
      </c>
      <c r="AY63" s="232">
        <f t="shared" si="10"/>
        <v>0</v>
      </c>
      <c r="AZ63" s="237">
        <f t="shared" si="10"/>
        <v>0</v>
      </c>
      <c r="BA63" s="234">
        <f t="shared" si="11"/>
        <v>0</v>
      </c>
      <c r="BB63" s="237">
        <f t="shared" si="11"/>
        <v>0</v>
      </c>
      <c r="BC63" s="237">
        <f t="shared" si="7"/>
        <v>0</v>
      </c>
      <c r="BD63" s="79"/>
      <c r="BE63" s="79"/>
      <c r="BF63" s="79"/>
      <c r="BG63" s="80"/>
      <c r="BI63" s="81"/>
    </row>
    <row r="64" spans="1:61" ht="30" customHeight="1" x14ac:dyDescent="0.15">
      <c r="A64" s="442"/>
      <c r="B64" s="230" t="s">
        <v>36</v>
      </c>
      <c r="C64" s="365"/>
      <c r="D64" s="366"/>
      <c r="E64" s="338"/>
      <c r="F64" s="339"/>
      <c r="G64" s="339"/>
      <c r="H64" s="339"/>
      <c r="I64" s="339"/>
      <c r="J64" s="340"/>
      <c r="K64" s="338"/>
      <c r="L64" s="341"/>
      <c r="M64" s="341"/>
      <c r="N64" s="341"/>
      <c r="O64" s="341"/>
      <c r="P64" s="347"/>
      <c r="Q64" s="322"/>
      <c r="R64" s="341"/>
      <c r="S64" s="341"/>
      <c r="T64" s="326"/>
      <c r="U64" s="340"/>
      <c r="V64" s="342"/>
      <c r="W64" s="328"/>
      <c r="X64" s="341"/>
      <c r="Y64" s="341"/>
      <c r="Z64" s="339"/>
      <c r="AA64" s="332"/>
      <c r="AB64" s="342"/>
      <c r="AC64" s="339"/>
      <c r="AD64" s="339"/>
      <c r="AE64" s="339"/>
      <c r="AF64" s="339"/>
      <c r="AG64" s="343"/>
      <c r="AH64" s="197"/>
      <c r="AI64" s="198"/>
      <c r="AJ64" s="198"/>
      <c r="AK64" s="199"/>
      <c r="AM64" s="72">
        <f t="shared" si="6"/>
        <v>0</v>
      </c>
      <c r="AN64" s="231">
        <f t="shared" si="10"/>
        <v>0</v>
      </c>
      <c r="AO64" s="232">
        <f t="shared" si="10"/>
        <v>0</v>
      </c>
      <c r="AP64" s="233">
        <f t="shared" si="10"/>
        <v>0</v>
      </c>
      <c r="AQ64" s="234">
        <f t="shared" si="10"/>
        <v>0</v>
      </c>
      <c r="AR64" s="235">
        <f t="shared" si="10"/>
        <v>0</v>
      </c>
      <c r="AS64" s="236">
        <f t="shared" si="10"/>
        <v>0</v>
      </c>
      <c r="AT64" s="232">
        <f t="shared" si="10"/>
        <v>0</v>
      </c>
      <c r="AU64" s="235">
        <f t="shared" si="10"/>
        <v>0</v>
      </c>
      <c r="AV64" s="235">
        <f t="shared" si="10"/>
        <v>0</v>
      </c>
      <c r="AW64" s="233">
        <f t="shared" si="10"/>
        <v>0</v>
      </c>
      <c r="AX64" s="236">
        <f t="shared" si="10"/>
        <v>0</v>
      </c>
      <c r="AY64" s="232">
        <f t="shared" si="10"/>
        <v>0</v>
      </c>
      <c r="AZ64" s="237">
        <f t="shared" si="10"/>
        <v>0</v>
      </c>
      <c r="BA64" s="234">
        <f t="shared" si="11"/>
        <v>0</v>
      </c>
      <c r="BB64" s="237">
        <f t="shared" si="11"/>
        <v>0</v>
      </c>
      <c r="BC64" s="237">
        <f t="shared" si="7"/>
        <v>0</v>
      </c>
      <c r="BD64" s="79"/>
      <c r="BE64" s="79"/>
      <c r="BF64" s="79"/>
      <c r="BG64" s="80"/>
      <c r="BI64" s="81"/>
    </row>
    <row r="65" spans="1:90" ht="30" customHeight="1" thickBot="1" x14ac:dyDescent="0.2">
      <c r="A65" s="443"/>
      <c r="B65" s="238" t="s">
        <v>36</v>
      </c>
      <c r="C65" s="374"/>
      <c r="D65" s="375"/>
      <c r="E65" s="350"/>
      <c r="F65" s="351"/>
      <c r="G65" s="351"/>
      <c r="H65" s="351"/>
      <c r="I65" s="351"/>
      <c r="J65" s="352"/>
      <c r="K65" s="350"/>
      <c r="L65" s="353"/>
      <c r="M65" s="353"/>
      <c r="N65" s="353"/>
      <c r="O65" s="353"/>
      <c r="P65" s="356"/>
      <c r="Q65" s="362"/>
      <c r="R65" s="353"/>
      <c r="S65" s="353"/>
      <c r="T65" s="363"/>
      <c r="U65" s="352"/>
      <c r="V65" s="354"/>
      <c r="W65" s="355"/>
      <c r="X65" s="353"/>
      <c r="Y65" s="353"/>
      <c r="Z65" s="351"/>
      <c r="AA65" s="364"/>
      <c r="AB65" s="354"/>
      <c r="AC65" s="351"/>
      <c r="AD65" s="351"/>
      <c r="AE65" s="351"/>
      <c r="AF65" s="351"/>
      <c r="AG65" s="356"/>
      <c r="AH65" s="210"/>
      <c r="AI65" s="211"/>
      <c r="AJ65" s="211"/>
      <c r="AK65" s="212"/>
      <c r="AM65" s="72">
        <f t="shared" si="6"/>
        <v>0</v>
      </c>
      <c r="AN65" s="239">
        <f t="shared" si="10"/>
        <v>0</v>
      </c>
      <c r="AO65" s="240">
        <f t="shared" si="10"/>
        <v>0</v>
      </c>
      <c r="AP65" s="241">
        <f t="shared" si="10"/>
        <v>0</v>
      </c>
      <c r="AQ65" s="242">
        <f t="shared" si="10"/>
        <v>0</v>
      </c>
      <c r="AR65" s="243">
        <f t="shared" si="10"/>
        <v>0</v>
      </c>
      <c r="AS65" s="244">
        <f t="shared" si="10"/>
        <v>0</v>
      </c>
      <c r="AT65" s="240">
        <f t="shared" si="10"/>
        <v>0</v>
      </c>
      <c r="AU65" s="243">
        <f t="shared" si="10"/>
        <v>0</v>
      </c>
      <c r="AV65" s="243">
        <f t="shared" si="10"/>
        <v>0</v>
      </c>
      <c r="AW65" s="241">
        <f t="shared" si="10"/>
        <v>0</v>
      </c>
      <c r="AX65" s="244">
        <f t="shared" si="10"/>
        <v>0</v>
      </c>
      <c r="AY65" s="240">
        <f t="shared" si="10"/>
        <v>0</v>
      </c>
      <c r="AZ65" s="245">
        <f t="shared" si="10"/>
        <v>0</v>
      </c>
      <c r="BA65" s="242">
        <f t="shared" si="11"/>
        <v>0</v>
      </c>
      <c r="BB65" s="245">
        <f t="shared" si="11"/>
        <v>0</v>
      </c>
      <c r="BC65" s="245">
        <f t="shared" si="7"/>
        <v>0</v>
      </c>
      <c r="BD65" s="79"/>
      <c r="BE65" s="79"/>
      <c r="BF65" s="79"/>
      <c r="BG65" s="80"/>
      <c r="BI65" s="81"/>
    </row>
    <row r="66" spans="1:90" s="246" customFormat="1" ht="52.5" customHeight="1" thickTop="1" thickBot="1" x14ac:dyDescent="0.2">
      <c r="A66" s="450"/>
      <c r="B66" s="451"/>
      <c r="C66" s="451"/>
      <c r="D66" s="452"/>
      <c r="E66" s="453"/>
      <c r="F66" s="454"/>
      <c r="G66" s="454"/>
      <c r="H66" s="454"/>
      <c r="I66" s="454"/>
      <c r="J66" s="455"/>
      <c r="K66" s="456"/>
      <c r="L66" s="457"/>
      <c r="M66" s="457"/>
      <c r="N66" s="457"/>
      <c r="O66" s="457"/>
      <c r="P66" s="458"/>
      <c r="Q66" s="456"/>
      <c r="R66" s="457"/>
      <c r="S66" s="457"/>
      <c r="T66" s="457"/>
      <c r="U66" s="458"/>
      <c r="V66" s="456"/>
      <c r="W66" s="457"/>
      <c r="X66" s="457"/>
      <c r="Y66" s="457"/>
      <c r="Z66" s="457"/>
      <c r="AA66" s="458"/>
      <c r="AB66" s="456"/>
      <c r="AC66" s="457"/>
      <c r="AD66" s="457"/>
      <c r="AE66" s="457"/>
      <c r="AF66" s="457"/>
      <c r="AG66" s="458"/>
      <c r="AH66" s="459" t="e">
        <v>#N/A</v>
      </c>
      <c r="AI66" s="460"/>
      <c r="AJ66" s="460"/>
      <c r="AK66" s="461"/>
      <c r="AN66" s="410" t="s">
        <v>11</v>
      </c>
      <c r="AO66" s="411" t="s">
        <v>12</v>
      </c>
      <c r="AP66" s="412" t="s">
        <v>13</v>
      </c>
      <c r="AQ66" s="413" t="s">
        <v>14</v>
      </c>
      <c r="AR66" s="412" t="s">
        <v>15</v>
      </c>
      <c r="AS66" s="413" t="s">
        <v>16</v>
      </c>
      <c r="AT66" s="411" t="s">
        <v>17</v>
      </c>
      <c r="AU66" s="411" t="s">
        <v>18</v>
      </c>
      <c r="AV66" s="411" t="s">
        <v>19</v>
      </c>
      <c r="AW66" s="412" t="s">
        <v>20</v>
      </c>
      <c r="AX66" s="413" t="s">
        <v>21</v>
      </c>
      <c r="AY66" s="411" t="s">
        <v>22</v>
      </c>
      <c r="AZ66" s="414" t="s">
        <v>23</v>
      </c>
      <c r="BA66" s="415" t="s">
        <v>24</v>
      </c>
      <c r="BB66" s="414" t="s">
        <v>25</v>
      </c>
      <c r="BC66" s="416" t="s">
        <v>26</v>
      </c>
      <c r="BD66" s="247"/>
      <c r="BE66" s="247"/>
      <c r="BF66" s="247"/>
      <c r="BJ66" s="247"/>
      <c r="BK66" s="247"/>
      <c r="BL66" s="247"/>
      <c r="BM66" s="247"/>
      <c r="BN66" s="247"/>
      <c r="BO66" s="247"/>
      <c r="BP66" s="247"/>
      <c r="BQ66" s="247"/>
      <c r="BR66" s="247"/>
      <c r="BS66" s="247"/>
      <c r="BT66" s="247"/>
      <c r="BU66" s="247"/>
      <c r="BV66" s="247"/>
      <c r="BW66" s="247"/>
      <c r="BX66" s="247"/>
      <c r="BY66" s="247"/>
      <c r="BZ66" s="247"/>
      <c r="CA66" s="247"/>
      <c r="CB66" s="247"/>
      <c r="CC66" s="247"/>
      <c r="CD66" s="247"/>
      <c r="CE66" s="247"/>
      <c r="CF66" s="247"/>
      <c r="CG66" s="247"/>
      <c r="CH66" s="247"/>
      <c r="CI66" s="247"/>
      <c r="CJ66" s="247"/>
      <c r="CK66" s="247"/>
      <c r="CL66" s="247"/>
    </row>
    <row r="67" spans="1:90" ht="21" customHeight="1" x14ac:dyDescent="0.15">
      <c r="A67" t="s">
        <v>37</v>
      </c>
    </row>
    <row r="77" spans="1:90" s="1" customFormat="1" x14ac:dyDescent="0.15">
      <c r="C77" s="448" t="s">
        <v>48</v>
      </c>
      <c r="D77" s="449"/>
      <c r="E77" s="1">
        <f>COUNTIF(E$21:E$65,"*"&amp;$C77&amp;"*")</f>
        <v>0</v>
      </c>
      <c r="F77" s="1">
        <f t="shared" ref="F77:AK84" si="13">COUNTIF(F$21:F$65,"*"&amp;$C77&amp;"*")</f>
        <v>0</v>
      </c>
      <c r="G77" s="1">
        <f t="shared" si="13"/>
        <v>0</v>
      </c>
      <c r="H77" s="1">
        <f t="shared" si="13"/>
        <v>0</v>
      </c>
      <c r="I77" s="1">
        <f t="shared" si="13"/>
        <v>0</v>
      </c>
      <c r="J77" s="1">
        <f t="shared" si="13"/>
        <v>0</v>
      </c>
      <c r="K77" s="1">
        <f t="shared" si="13"/>
        <v>0</v>
      </c>
      <c r="L77" s="1">
        <f t="shared" si="13"/>
        <v>0</v>
      </c>
      <c r="M77" s="1">
        <f t="shared" si="13"/>
        <v>0</v>
      </c>
      <c r="N77" s="1">
        <f t="shared" si="13"/>
        <v>0</v>
      </c>
      <c r="O77" s="1">
        <f t="shared" si="13"/>
        <v>0</v>
      </c>
      <c r="P77" s="1">
        <f t="shared" si="13"/>
        <v>0</v>
      </c>
      <c r="Q77" s="1">
        <f t="shared" si="13"/>
        <v>0</v>
      </c>
      <c r="R77" s="1">
        <f t="shared" si="13"/>
        <v>0</v>
      </c>
      <c r="S77" s="1">
        <f t="shared" si="13"/>
        <v>0</v>
      </c>
      <c r="T77" s="1">
        <f t="shared" si="13"/>
        <v>0</v>
      </c>
      <c r="U77" s="1">
        <f t="shared" si="13"/>
        <v>0</v>
      </c>
      <c r="V77" s="1">
        <f t="shared" si="13"/>
        <v>0</v>
      </c>
      <c r="W77" s="1">
        <f t="shared" si="13"/>
        <v>0</v>
      </c>
      <c r="X77" s="1">
        <f t="shared" si="13"/>
        <v>0</v>
      </c>
      <c r="Y77" s="1">
        <f t="shared" si="13"/>
        <v>0</v>
      </c>
      <c r="Z77" s="1">
        <f t="shared" si="13"/>
        <v>0</v>
      </c>
      <c r="AA77" s="1">
        <f t="shared" si="13"/>
        <v>0</v>
      </c>
      <c r="AB77" s="1">
        <f t="shared" si="13"/>
        <v>0</v>
      </c>
      <c r="AC77" s="1">
        <f t="shared" si="13"/>
        <v>0</v>
      </c>
      <c r="AD77" s="1">
        <f t="shared" si="13"/>
        <v>0</v>
      </c>
      <c r="AE77" s="1">
        <f t="shared" si="13"/>
        <v>0</v>
      </c>
      <c r="AF77" s="1">
        <f t="shared" si="13"/>
        <v>0</v>
      </c>
      <c r="AG77" s="1">
        <f t="shared" si="13"/>
        <v>0</v>
      </c>
      <c r="AH77" s="1">
        <f t="shared" si="13"/>
        <v>0</v>
      </c>
      <c r="AI77" s="1">
        <f t="shared" si="13"/>
        <v>0</v>
      </c>
      <c r="AJ77" s="1">
        <f t="shared" si="13"/>
        <v>0</v>
      </c>
      <c r="AK77" s="1">
        <f t="shared" si="13"/>
        <v>0</v>
      </c>
    </row>
    <row r="78" spans="1:90" s="1" customFormat="1" x14ac:dyDescent="0.15">
      <c r="C78" s="448" t="s">
        <v>49</v>
      </c>
      <c r="D78" s="449"/>
      <c r="E78" s="1">
        <f t="shared" ref="E78:T96" si="14">COUNTIF(E$21:E$65,"*"&amp;$C78&amp;"*")</f>
        <v>0</v>
      </c>
      <c r="F78" s="1">
        <f t="shared" si="13"/>
        <v>0</v>
      </c>
      <c r="G78" s="1">
        <f t="shared" si="13"/>
        <v>0</v>
      </c>
      <c r="H78" s="1">
        <f t="shared" si="13"/>
        <v>0</v>
      </c>
      <c r="I78" s="1">
        <f t="shared" si="13"/>
        <v>0</v>
      </c>
      <c r="J78" s="1">
        <f t="shared" si="13"/>
        <v>0</v>
      </c>
      <c r="K78" s="1">
        <f t="shared" si="13"/>
        <v>0</v>
      </c>
      <c r="L78" s="1">
        <f t="shared" si="13"/>
        <v>0</v>
      </c>
      <c r="M78" s="1">
        <f t="shared" si="13"/>
        <v>0</v>
      </c>
      <c r="N78" s="1">
        <f t="shared" si="13"/>
        <v>0</v>
      </c>
      <c r="O78" s="1">
        <f t="shared" si="13"/>
        <v>0</v>
      </c>
      <c r="P78" s="1">
        <f t="shared" si="13"/>
        <v>0</v>
      </c>
      <c r="Q78" s="1">
        <f t="shared" si="13"/>
        <v>0</v>
      </c>
      <c r="R78" s="1">
        <f t="shared" si="13"/>
        <v>0</v>
      </c>
      <c r="S78" s="1">
        <f t="shared" si="13"/>
        <v>0</v>
      </c>
      <c r="T78" s="1">
        <f t="shared" si="13"/>
        <v>0</v>
      </c>
      <c r="U78" s="1">
        <f t="shared" si="13"/>
        <v>0</v>
      </c>
      <c r="V78" s="1">
        <f t="shared" si="13"/>
        <v>0</v>
      </c>
      <c r="W78" s="1">
        <f t="shared" si="13"/>
        <v>0</v>
      </c>
      <c r="X78" s="1">
        <f t="shared" si="13"/>
        <v>0</v>
      </c>
      <c r="Y78" s="1">
        <f t="shared" si="13"/>
        <v>0</v>
      </c>
      <c r="Z78" s="1">
        <f t="shared" si="13"/>
        <v>0</v>
      </c>
      <c r="AA78" s="1">
        <f t="shared" si="13"/>
        <v>0</v>
      </c>
      <c r="AB78" s="1">
        <f t="shared" si="13"/>
        <v>0</v>
      </c>
      <c r="AC78" s="1">
        <f t="shared" si="13"/>
        <v>0</v>
      </c>
      <c r="AD78" s="1">
        <f t="shared" si="13"/>
        <v>0</v>
      </c>
      <c r="AE78" s="1">
        <f t="shared" si="13"/>
        <v>0</v>
      </c>
      <c r="AF78" s="1">
        <f t="shared" si="13"/>
        <v>0</v>
      </c>
      <c r="AG78" s="1">
        <f t="shared" si="13"/>
        <v>0</v>
      </c>
      <c r="AH78" s="1">
        <f t="shared" si="13"/>
        <v>0</v>
      </c>
      <c r="AI78" s="1">
        <f t="shared" si="13"/>
        <v>0</v>
      </c>
      <c r="AJ78" s="1">
        <f t="shared" si="13"/>
        <v>0</v>
      </c>
      <c r="AK78" s="1">
        <f t="shared" si="13"/>
        <v>0</v>
      </c>
    </row>
    <row r="79" spans="1:90" s="1" customFormat="1" x14ac:dyDescent="0.15">
      <c r="C79" s="448" t="s">
        <v>50</v>
      </c>
      <c r="D79" s="449"/>
      <c r="E79" s="1">
        <f t="shared" si="14"/>
        <v>0</v>
      </c>
      <c r="F79" s="1">
        <f t="shared" si="13"/>
        <v>0</v>
      </c>
      <c r="G79" s="1">
        <f t="shared" si="13"/>
        <v>0</v>
      </c>
      <c r="H79" s="1">
        <f t="shared" si="13"/>
        <v>0</v>
      </c>
      <c r="I79" s="1">
        <f t="shared" si="13"/>
        <v>0</v>
      </c>
      <c r="J79" s="1">
        <f t="shared" si="13"/>
        <v>0</v>
      </c>
      <c r="K79" s="1">
        <f t="shared" si="13"/>
        <v>0</v>
      </c>
      <c r="L79" s="1">
        <f t="shared" si="13"/>
        <v>0</v>
      </c>
      <c r="M79" s="1">
        <f t="shared" si="13"/>
        <v>0</v>
      </c>
      <c r="N79" s="1">
        <f t="shared" si="13"/>
        <v>0</v>
      </c>
      <c r="O79" s="1">
        <f t="shared" si="13"/>
        <v>0</v>
      </c>
      <c r="P79" s="1">
        <f t="shared" si="13"/>
        <v>0</v>
      </c>
      <c r="Q79" s="1">
        <f t="shared" si="13"/>
        <v>0</v>
      </c>
      <c r="R79" s="1">
        <f t="shared" si="13"/>
        <v>0</v>
      </c>
      <c r="S79" s="1">
        <f t="shared" si="13"/>
        <v>0</v>
      </c>
      <c r="T79" s="1">
        <f t="shared" si="13"/>
        <v>0</v>
      </c>
      <c r="U79" s="1">
        <f t="shared" si="13"/>
        <v>0</v>
      </c>
      <c r="V79" s="1">
        <f t="shared" si="13"/>
        <v>0</v>
      </c>
      <c r="W79" s="1">
        <f t="shared" si="13"/>
        <v>0</v>
      </c>
      <c r="X79" s="1">
        <f t="shared" si="13"/>
        <v>0</v>
      </c>
      <c r="Y79" s="1">
        <f t="shared" si="13"/>
        <v>0</v>
      </c>
      <c r="Z79" s="1">
        <f t="shared" si="13"/>
        <v>0</v>
      </c>
      <c r="AA79" s="1">
        <f t="shared" si="13"/>
        <v>0</v>
      </c>
      <c r="AB79" s="1">
        <f t="shared" si="13"/>
        <v>0</v>
      </c>
      <c r="AC79" s="1">
        <f t="shared" si="13"/>
        <v>0</v>
      </c>
      <c r="AD79" s="1">
        <f t="shared" si="13"/>
        <v>0</v>
      </c>
      <c r="AE79" s="1">
        <f t="shared" si="13"/>
        <v>0</v>
      </c>
      <c r="AF79" s="1">
        <f t="shared" si="13"/>
        <v>0</v>
      </c>
      <c r="AG79" s="1">
        <f t="shared" si="13"/>
        <v>0</v>
      </c>
      <c r="AH79" s="1">
        <f t="shared" si="13"/>
        <v>0</v>
      </c>
      <c r="AI79" s="1">
        <f t="shared" si="13"/>
        <v>0</v>
      </c>
      <c r="AJ79" s="1">
        <f t="shared" si="13"/>
        <v>0</v>
      </c>
      <c r="AK79" s="1">
        <f t="shared" si="13"/>
        <v>0</v>
      </c>
    </row>
    <row r="80" spans="1:90" s="1" customFormat="1" x14ac:dyDescent="0.15">
      <c r="C80" s="448" t="s">
        <v>51</v>
      </c>
      <c r="D80" s="449"/>
      <c r="E80" s="1">
        <f t="shared" si="14"/>
        <v>0</v>
      </c>
      <c r="F80" s="1">
        <f t="shared" si="13"/>
        <v>0</v>
      </c>
      <c r="G80" s="1">
        <f t="shared" si="13"/>
        <v>0</v>
      </c>
      <c r="H80" s="1">
        <f t="shared" si="13"/>
        <v>0</v>
      </c>
      <c r="I80" s="1">
        <f t="shared" si="13"/>
        <v>0</v>
      </c>
      <c r="J80" s="1">
        <f t="shared" si="13"/>
        <v>0</v>
      </c>
      <c r="K80" s="1">
        <f t="shared" si="13"/>
        <v>0</v>
      </c>
      <c r="L80" s="1">
        <f t="shared" si="13"/>
        <v>0</v>
      </c>
      <c r="M80" s="1">
        <f t="shared" si="13"/>
        <v>0</v>
      </c>
      <c r="N80" s="1">
        <f t="shared" si="13"/>
        <v>0</v>
      </c>
      <c r="O80" s="1">
        <f t="shared" si="13"/>
        <v>0</v>
      </c>
      <c r="P80" s="1">
        <f t="shared" si="13"/>
        <v>0</v>
      </c>
      <c r="Q80" s="1">
        <f t="shared" si="13"/>
        <v>0</v>
      </c>
      <c r="R80" s="1">
        <f t="shared" si="13"/>
        <v>0</v>
      </c>
      <c r="S80" s="1">
        <f t="shared" si="13"/>
        <v>0</v>
      </c>
      <c r="T80" s="1">
        <f t="shared" si="13"/>
        <v>0</v>
      </c>
      <c r="U80" s="1">
        <f t="shared" si="13"/>
        <v>0</v>
      </c>
      <c r="V80" s="1">
        <f t="shared" si="13"/>
        <v>0</v>
      </c>
      <c r="W80" s="1">
        <f t="shared" si="13"/>
        <v>0</v>
      </c>
      <c r="X80" s="1">
        <f t="shared" si="13"/>
        <v>0</v>
      </c>
      <c r="Y80" s="1">
        <f t="shared" si="13"/>
        <v>0</v>
      </c>
      <c r="Z80" s="1">
        <f t="shared" si="13"/>
        <v>0</v>
      </c>
      <c r="AA80" s="1">
        <f t="shared" si="13"/>
        <v>0</v>
      </c>
      <c r="AB80" s="1">
        <f t="shared" si="13"/>
        <v>0</v>
      </c>
      <c r="AC80" s="1">
        <f t="shared" si="13"/>
        <v>0</v>
      </c>
      <c r="AD80" s="1">
        <f t="shared" si="13"/>
        <v>0</v>
      </c>
      <c r="AE80" s="1">
        <f t="shared" si="13"/>
        <v>0</v>
      </c>
      <c r="AF80" s="1">
        <f t="shared" si="13"/>
        <v>0</v>
      </c>
      <c r="AG80" s="1">
        <f t="shared" si="13"/>
        <v>0</v>
      </c>
      <c r="AH80" s="1">
        <f t="shared" si="13"/>
        <v>0</v>
      </c>
      <c r="AI80" s="1">
        <f t="shared" si="13"/>
        <v>0</v>
      </c>
      <c r="AJ80" s="1">
        <f t="shared" si="13"/>
        <v>0</v>
      </c>
      <c r="AK80" s="1">
        <f t="shared" si="13"/>
        <v>0</v>
      </c>
    </row>
    <row r="81" spans="3:37" s="1" customFormat="1" x14ac:dyDescent="0.15">
      <c r="C81" s="448" t="s">
        <v>17</v>
      </c>
      <c r="D81" s="449"/>
      <c r="E81" s="1">
        <f t="shared" si="14"/>
        <v>0</v>
      </c>
      <c r="F81" s="1">
        <f t="shared" si="13"/>
        <v>0</v>
      </c>
      <c r="G81" s="1">
        <f t="shared" si="13"/>
        <v>0</v>
      </c>
      <c r="H81" s="1">
        <f t="shared" si="13"/>
        <v>0</v>
      </c>
      <c r="I81" s="1">
        <f t="shared" si="13"/>
        <v>0</v>
      </c>
      <c r="J81" s="1">
        <f t="shared" si="13"/>
        <v>0</v>
      </c>
      <c r="K81" s="1">
        <f t="shared" si="13"/>
        <v>0</v>
      </c>
      <c r="L81" s="1">
        <f t="shared" si="13"/>
        <v>0</v>
      </c>
      <c r="M81" s="1">
        <f t="shared" si="13"/>
        <v>0</v>
      </c>
      <c r="N81" s="1">
        <f t="shared" si="13"/>
        <v>0</v>
      </c>
      <c r="O81" s="1">
        <f t="shared" si="13"/>
        <v>0</v>
      </c>
      <c r="P81" s="1">
        <f t="shared" si="13"/>
        <v>0</v>
      </c>
      <c r="Q81" s="1">
        <f t="shared" si="13"/>
        <v>0</v>
      </c>
      <c r="R81" s="1">
        <f t="shared" si="13"/>
        <v>0</v>
      </c>
      <c r="S81" s="1">
        <f t="shared" si="13"/>
        <v>0</v>
      </c>
      <c r="T81" s="1">
        <f t="shared" si="13"/>
        <v>0</v>
      </c>
      <c r="U81" s="1">
        <f t="shared" si="13"/>
        <v>0</v>
      </c>
      <c r="V81" s="1">
        <f t="shared" si="13"/>
        <v>0</v>
      </c>
      <c r="W81" s="1">
        <f t="shared" si="13"/>
        <v>0</v>
      </c>
      <c r="X81" s="1">
        <f t="shared" si="13"/>
        <v>0</v>
      </c>
      <c r="Y81" s="1">
        <f t="shared" si="13"/>
        <v>0</v>
      </c>
      <c r="Z81" s="1">
        <f t="shared" si="13"/>
        <v>0</v>
      </c>
      <c r="AA81" s="1">
        <f t="shared" si="13"/>
        <v>0</v>
      </c>
      <c r="AB81" s="1">
        <f t="shared" si="13"/>
        <v>0</v>
      </c>
      <c r="AC81" s="1">
        <f t="shared" si="13"/>
        <v>0</v>
      </c>
      <c r="AD81" s="1">
        <f t="shared" si="13"/>
        <v>0</v>
      </c>
      <c r="AE81" s="1">
        <f t="shared" si="13"/>
        <v>0</v>
      </c>
      <c r="AF81" s="1">
        <f t="shared" si="13"/>
        <v>0</v>
      </c>
      <c r="AG81" s="1">
        <f t="shared" si="13"/>
        <v>0</v>
      </c>
      <c r="AH81" s="1">
        <f t="shared" si="13"/>
        <v>0</v>
      </c>
      <c r="AI81" s="1">
        <f t="shared" si="13"/>
        <v>0</v>
      </c>
      <c r="AJ81" s="1">
        <f t="shared" si="13"/>
        <v>0</v>
      </c>
      <c r="AK81" s="1">
        <f t="shared" si="13"/>
        <v>0</v>
      </c>
    </row>
    <row r="82" spans="3:37" s="1" customFormat="1" x14ac:dyDescent="0.15">
      <c r="C82" s="448" t="s">
        <v>18</v>
      </c>
      <c r="D82" s="449"/>
      <c r="E82" s="1">
        <f t="shared" si="14"/>
        <v>0</v>
      </c>
      <c r="F82" s="1">
        <f t="shared" si="13"/>
        <v>0</v>
      </c>
      <c r="G82" s="1">
        <f t="shared" si="13"/>
        <v>0</v>
      </c>
      <c r="H82" s="1">
        <f t="shared" si="13"/>
        <v>0</v>
      </c>
      <c r="I82" s="1">
        <f t="shared" si="13"/>
        <v>0</v>
      </c>
      <c r="J82" s="1">
        <f t="shared" si="13"/>
        <v>0</v>
      </c>
      <c r="K82" s="1">
        <f t="shared" si="13"/>
        <v>0</v>
      </c>
      <c r="L82" s="1">
        <f t="shared" si="13"/>
        <v>0</v>
      </c>
      <c r="M82" s="1">
        <f t="shared" si="13"/>
        <v>0</v>
      </c>
      <c r="N82" s="1">
        <f t="shared" si="13"/>
        <v>0</v>
      </c>
      <c r="O82" s="1">
        <f t="shared" si="13"/>
        <v>0</v>
      </c>
      <c r="P82" s="1">
        <f t="shared" si="13"/>
        <v>0</v>
      </c>
      <c r="Q82" s="1">
        <f t="shared" si="13"/>
        <v>0</v>
      </c>
      <c r="R82" s="1">
        <f t="shared" si="13"/>
        <v>0</v>
      </c>
      <c r="S82" s="1">
        <f t="shared" si="13"/>
        <v>0</v>
      </c>
      <c r="T82" s="1">
        <f t="shared" si="13"/>
        <v>0</v>
      </c>
      <c r="U82" s="1">
        <f t="shared" si="13"/>
        <v>0</v>
      </c>
      <c r="V82" s="1">
        <f t="shared" si="13"/>
        <v>0</v>
      </c>
      <c r="W82" s="1">
        <f t="shared" si="13"/>
        <v>0</v>
      </c>
      <c r="X82" s="1">
        <f t="shared" si="13"/>
        <v>0</v>
      </c>
      <c r="Y82" s="1">
        <f t="shared" si="13"/>
        <v>0</v>
      </c>
      <c r="Z82" s="1">
        <f t="shared" si="13"/>
        <v>0</v>
      </c>
      <c r="AA82" s="1">
        <f t="shared" si="13"/>
        <v>0</v>
      </c>
      <c r="AB82" s="1">
        <f t="shared" si="13"/>
        <v>0</v>
      </c>
      <c r="AC82" s="1">
        <f t="shared" si="13"/>
        <v>0</v>
      </c>
      <c r="AD82" s="1">
        <f t="shared" si="13"/>
        <v>0</v>
      </c>
      <c r="AE82" s="1">
        <f t="shared" si="13"/>
        <v>0</v>
      </c>
      <c r="AF82" s="1">
        <f t="shared" si="13"/>
        <v>0</v>
      </c>
      <c r="AG82" s="1">
        <f t="shared" si="13"/>
        <v>0</v>
      </c>
      <c r="AH82" s="1">
        <f t="shared" si="13"/>
        <v>0</v>
      </c>
      <c r="AI82" s="1">
        <f t="shared" si="13"/>
        <v>0</v>
      </c>
      <c r="AJ82" s="1">
        <f t="shared" si="13"/>
        <v>0</v>
      </c>
      <c r="AK82" s="1">
        <f t="shared" si="13"/>
        <v>0</v>
      </c>
    </row>
    <row r="83" spans="3:37" s="1" customFormat="1" x14ac:dyDescent="0.15">
      <c r="C83" s="448" t="s">
        <v>52</v>
      </c>
      <c r="D83" s="449"/>
      <c r="E83" s="1">
        <f t="shared" si="14"/>
        <v>0</v>
      </c>
      <c r="F83" s="1">
        <f t="shared" si="13"/>
        <v>0</v>
      </c>
      <c r="G83" s="1">
        <f t="shared" si="13"/>
        <v>0</v>
      </c>
      <c r="H83" s="1">
        <f t="shared" si="13"/>
        <v>0</v>
      </c>
      <c r="I83" s="1">
        <f t="shared" si="13"/>
        <v>0</v>
      </c>
      <c r="J83" s="1">
        <f t="shared" si="13"/>
        <v>0</v>
      </c>
      <c r="K83" s="1">
        <f t="shared" si="13"/>
        <v>0</v>
      </c>
      <c r="L83" s="1">
        <f t="shared" si="13"/>
        <v>0</v>
      </c>
      <c r="M83" s="1">
        <f t="shared" si="13"/>
        <v>0</v>
      </c>
      <c r="N83" s="1">
        <f t="shared" si="13"/>
        <v>0</v>
      </c>
      <c r="O83" s="1">
        <f t="shared" si="13"/>
        <v>0</v>
      </c>
      <c r="P83" s="1">
        <f t="shared" si="13"/>
        <v>0</v>
      </c>
      <c r="Q83" s="1">
        <f t="shared" si="13"/>
        <v>0</v>
      </c>
      <c r="R83" s="1">
        <f t="shared" si="13"/>
        <v>0</v>
      </c>
      <c r="S83" s="1">
        <f t="shared" si="13"/>
        <v>0</v>
      </c>
      <c r="T83" s="1">
        <f t="shared" si="13"/>
        <v>0</v>
      </c>
      <c r="U83" s="1">
        <f t="shared" si="13"/>
        <v>0</v>
      </c>
      <c r="V83" s="1">
        <f t="shared" si="13"/>
        <v>0</v>
      </c>
      <c r="W83" s="1">
        <f t="shared" si="13"/>
        <v>0</v>
      </c>
      <c r="X83" s="1">
        <f t="shared" si="13"/>
        <v>0</v>
      </c>
      <c r="Y83" s="1">
        <f t="shared" si="13"/>
        <v>0</v>
      </c>
      <c r="Z83" s="1">
        <f t="shared" si="13"/>
        <v>0</v>
      </c>
      <c r="AA83" s="1">
        <f t="shared" si="13"/>
        <v>0</v>
      </c>
      <c r="AB83" s="1">
        <f t="shared" si="13"/>
        <v>0</v>
      </c>
      <c r="AC83" s="1">
        <f t="shared" si="13"/>
        <v>0</v>
      </c>
      <c r="AD83" s="1">
        <f t="shared" si="13"/>
        <v>0</v>
      </c>
      <c r="AE83" s="1">
        <f t="shared" si="13"/>
        <v>0</v>
      </c>
      <c r="AF83" s="1">
        <f t="shared" si="13"/>
        <v>0</v>
      </c>
      <c r="AG83" s="1">
        <f t="shared" si="13"/>
        <v>0</v>
      </c>
      <c r="AH83" s="1">
        <f t="shared" si="13"/>
        <v>0</v>
      </c>
      <c r="AI83" s="1">
        <f t="shared" si="13"/>
        <v>0</v>
      </c>
      <c r="AJ83" s="1">
        <f t="shared" si="13"/>
        <v>0</v>
      </c>
      <c r="AK83" s="1">
        <f t="shared" si="13"/>
        <v>0</v>
      </c>
    </row>
    <row r="84" spans="3:37" s="1" customFormat="1" x14ac:dyDescent="0.15">
      <c r="C84" s="448" t="s">
        <v>22</v>
      </c>
      <c r="D84" s="449"/>
      <c r="E84" s="1">
        <f t="shared" si="14"/>
        <v>0</v>
      </c>
      <c r="F84" s="1">
        <f t="shared" si="13"/>
        <v>0</v>
      </c>
      <c r="G84" s="1">
        <f t="shared" si="13"/>
        <v>0</v>
      </c>
      <c r="H84" s="1">
        <f t="shared" si="13"/>
        <v>0</v>
      </c>
      <c r="I84" s="1">
        <f t="shared" si="13"/>
        <v>0</v>
      </c>
      <c r="J84" s="1">
        <f t="shared" si="13"/>
        <v>0</v>
      </c>
      <c r="K84" s="1">
        <f t="shared" si="13"/>
        <v>0</v>
      </c>
      <c r="L84" s="1">
        <f t="shared" si="13"/>
        <v>0</v>
      </c>
      <c r="M84" s="1">
        <f t="shared" si="13"/>
        <v>0</v>
      </c>
      <c r="N84" s="1">
        <f t="shared" si="13"/>
        <v>0</v>
      </c>
      <c r="O84" s="1">
        <f t="shared" si="13"/>
        <v>0</v>
      </c>
      <c r="P84" s="1">
        <f t="shared" si="13"/>
        <v>0</v>
      </c>
      <c r="Q84" s="1">
        <f t="shared" si="13"/>
        <v>0</v>
      </c>
      <c r="R84" s="1">
        <f t="shared" si="13"/>
        <v>0</v>
      </c>
      <c r="S84" s="1">
        <f t="shared" si="13"/>
        <v>0</v>
      </c>
      <c r="T84" s="1">
        <f t="shared" si="13"/>
        <v>0</v>
      </c>
      <c r="U84" s="1">
        <f t="shared" si="13"/>
        <v>0</v>
      </c>
      <c r="V84" s="1">
        <f t="shared" si="13"/>
        <v>0</v>
      </c>
      <c r="W84" s="1">
        <f t="shared" si="13"/>
        <v>0</v>
      </c>
      <c r="X84" s="1">
        <f t="shared" si="13"/>
        <v>0</v>
      </c>
      <c r="Y84" s="1">
        <f t="shared" si="13"/>
        <v>0</v>
      </c>
      <c r="Z84" s="1">
        <f t="shared" si="13"/>
        <v>0</v>
      </c>
      <c r="AA84" s="1">
        <f t="shared" si="13"/>
        <v>0</v>
      </c>
      <c r="AB84" s="1">
        <f t="shared" si="13"/>
        <v>0</v>
      </c>
      <c r="AC84" s="1">
        <f t="shared" si="13"/>
        <v>0</v>
      </c>
      <c r="AD84" s="1">
        <f t="shared" si="13"/>
        <v>0</v>
      </c>
      <c r="AE84" s="1">
        <f t="shared" si="13"/>
        <v>0</v>
      </c>
      <c r="AF84" s="1">
        <f t="shared" si="13"/>
        <v>0</v>
      </c>
      <c r="AG84" s="1">
        <f t="shared" si="13"/>
        <v>0</v>
      </c>
      <c r="AH84" s="1">
        <f t="shared" si="13"/>
        <v>0</v>
      </c>
      <c r="AI84" s="1">
        <f t="shared" si="13"/>
        <v>0</v>
      </c>
      <c r="AJ84" s="1">
        <f t="shared" si="13"/>
        <v>0</v>
      </c>
      <c r="AK84" s="1">
        <f t="shared" ref="AK84" si="15">COUNTIF(AK$21:AK$65,"*"&amp;$C84&amp;"*")</f>
        <v>0</v>
      </c>
    </row>
    <row r="85" spans="3:37" s="1" customFormat="1" x14ac:dyDescent="0.15">
      <c r="C85" s="448" t="s">
        <v>23</v>
      </c>
      <c r="D85" s="449"/>
      <c r="E85" s="1">
        <f t="shared" si="14"/>
        <v>0</v>
      </c>
      <c r="F85" s="1">
        <f t="shared" si="14"/>
        <v>0</v>
      </c>
      <c r="G85" s="1">
        <f t="shared" si="14"/>
        <v>0</v>
      </c>
      <c r="H85" s="1">
        <f t="shared" si="14"/>
        <v>0</v>
      </c>
      <c r="I85" s="1">
        <f t="shared" si="14"/>
        <v>0</v>
      </c>
      <c r="J85" s="1">
        <f t="shared" si="14"/>
        <v>0</v>
      </c>
      <c r="K85" s="1">
        <f t="shared" si="14"/>
        <v>0</v>
      </c>
      <c r="L85" s="1">
        <f t="shared" si="14"/>
        <v>0</v>
      </c>
      <c r="M85" s="1">
        <f t="shared" si="14"/>
        <v>0</v>
      </c>
      <c r="N85" s="1">
        <f t="shared" si="14"/>
        <v>0</v>
      </c>
      <c r="O85" s="1">
        <f t="shared" si="14"/>
        <v>0</v>
      </c>
      <c r="P85" s="1">
        <f t="shared" si="14"/>
        <v>0</v>
      </c>
      <c r="Q85" s="1">
        <f t="shared" si="14"/>
        <v>0</v>
      </c>
      <c r="R85" s="1">
        <f t="shared" si="14"/>
        <v>0</v>
      </c>
      <c r="S85" s="1">
        <f t="shared" si="14"/>
        <v>0</v>
      </c>
      <c r="T85" s="1">
        <f t="shared" si="14"/>
        <v>0</v>
      </c>
      <c r="U85" s="1">
        <f t="shared" ref="U85:AK96" si="16">COUNTIF(U$21:U$65,"*"&amp;$C85&amp;"*")</f>
        <v>0</v>
      </c>
      <c r="V85" s="1">
        <f t="shared" si="16"/>
        <v>0</v>
      </c>
      <c r="W85" s="1">
        <f t="shared" si="16"/>
        <v>0</v>
      </c>
      <c r="X85" s="1">
        <f t="shared" si="16"/>
        <v>0</v>
      </c>
      <c r="Y85" s="1">
        <f t="shared" si="16"/>
        <v>0</v>
      </c>
      <c r="Z85" s="1">
        <f t="shared" si="16"/>
        <v>0</v>
      </c>
      <c r="AA85" s="1">
        <f t="shared" si="16"/>
        <v>0</v>
      </c>
      <c r="AB85" s="1">
        <f t="shared" si="16"/>
        <v>0</v>
      </c>
      <c r="AC85" s="1">
        <f t="shared" si="16"/>
        <v>0</v>
      </c>
      <c r="AD85" s="1">
        <f t="shared" si="16"/>
        <v>0</v>
      </c>
      <c r="AE85" s="1">
        <f t="shared" si="16"/>
        <v>0</v>
      </c>
      <c r="AF85" s="1">
        <f t="shared" si="16"/>
        <v>0</v>
      </c>
      <c r="AG85" s="1">
        <f t="shared" si="16"/>
        <v>0</v>
      </c>
      <c r="AH85" s="1">
        <f t="shared" si="16"/>
        <v>0</v>
      </c>
      <c r="AI85" s="1">
        <f t="shared" si="16"/>
        <v>0</v>
      </c>
      <c r="AJ85" s="1">
        <f t="shared" si="16"/>
        <v>0</v>
      </c>
      <c r="AK85" s="1">
        <f t="shared" si="16"/>
        <v>0</v>
      </c>
    </row>
    <row r="86" spans="3:37" s="1" customFormat="1" x14ac:dyDescent="0.15">
      <c r="C86" s="448" t="s">
        <v>53</v>
      </c>
      <c r="D86" s="449"/>
      <c r="E86" s="1">
        <f t="shared" si="14"/>
        <v>0</v>
      </c>
      <c r="F86" s="1">
        <f t="shared" si="14"/>
        <v>0</v>
      </c>
      <c r="G86" s="1">
        <f t="shared" si="14"/>
        <v>0</v>
      </c>
      <c r="H86" s="1">
        <f t="shared" si="14"/>
        <v>0</v>
      </c>
      <c r="I86" s="1">
        <f t="shared" si="14"/>
        <v>0</v>
      </c>
      <c r="J86" s="1">
        <f t="shared" si="14"/>
        <v>0</v>
      </c>
      <c r="K86" s="1">
        <f t="shared" si="14"/>
        <v>0</v>
      </c>
      <c r="L86" s="1">
        <f t="shared" si="14"/>
        <v>0</v>
      </c>
      <c r="M86" s="1">
        <f t="shared" si="14"/>
        <v>0</v>
      </c>
      <c r="N86" s="1">
        <f t="shared" si="14"/>
        <v>0</v>
      </c>
      <c r="O86" s="1">
        <f t="shared" si="14"/>
        <v>0</v>
      </c>
      <c r="P86" s="1">
        <f t="shared" si="14"/>
        <v>0</v>
      </c>
      <c r="Q86" s="1">
        <f t="shared" si="14"/>
        <v>0</v>
      </c>
      <c r="R86" s="1">
        <f t="shared" si="14"/>
        <v>0</v>
      </c>
      <c r="S86" s="1">
        <f t="shared" si="14"/>
        <v>0</v>
      </c>
      <c r="T86" s="1">
        <f t="shared" si="14"/>
        <v>0</v>
      </c>
      <c r="U86" s="1">
        <f t="shared" si="16"/>
        <v>0</v>
      </c>
      <c r="V86" s="1">
        <f t="shared" si="16"/>
        <v>0</v>
      </c>
      <c r="W86" s="1">
        <f t="shared" si="16"/>
        <v>0</v>
      </c>
      <c r="X86" s="1">
        <f t="shared" si="16"/>
        <v>0</v>
      </c>
      <c r="Y86" s="1">
        <f t="shared" si="16"/>
        <v>0</v>
      </c>
      <c r="Z86" s="1">
        <f t="shared" si="16"/>
        <v>0</v>
      </c>
      <c r="AA86" s="1">
        <f t="shared" si="16"/>
        <v>0</v>
      </c>
      <c r="AB86" s="1">
        <f t="shared" si="16"/>
        <v>0</v>
      </c>
      <c r="AC86" s="1">
        <f t="shared" si="16"/>
        <v>0</v>
      </c>
      <c r="AD86" s="1">
        <f t="shared" si="16"/>
        <v>0</v>
      </c>
      <c r="AE86" s="1">
        <f t="shared" si="16"/>
        <v>0</v>
      </c>
      <c r="AF86" s="1">
        <f t="shared" si="16"/>
        <v>0</v>
      </c>
      <c r="AG86" s="1">
        <f t="shared" si="16"/>
        <v>0</v>
      </c>
      <c r="AH86" s="1">
        <f t="shared" si="16"/>
        <v>0</v>
      </c>
      <c r="AI86" s="1">
        <f t="shared" si="16"/>
        <v>0</v>
      </c>
      <c r="AJ86" s="1">
        <f t="shared" si="16"/>
        <v>0</v>
      </c>
      <c r="AK86" s="1">
        <f t="shared" si="16"/>
        <v>0</v>
      </c>
    </row>
    <row r="87" spans="3:37" s="1" customFormat="1" x14ac:dyDescent="0.15">
      <c r="C87" s="448" t="s">
        <v>54</v>
      </c>
      <c r="D87" s="449"/>
      <c r="E87" s="1">
        <f t="shared" si="14"/>
        <v>0</v>
      </c>
      <c r="F87" s="1">
        <f t="shared" si="14"/>
        <v>0</v>
      </c>
      <c r="G87" s="1">
        <f t="shared" si="14"/>
        <v>0</v>
      </c>
      <c r="H87" s="1">
        <f t="shared" si="14"/>
        <v>0</v>
      </c>
      <c r="I87" s="1">
        <f t="shared" si="14"/>
        <v>0</v>
      </c>
      <c r="J87" s="1">
        <f t="shared" si="14"/>
        <v>0</v>
      </c>
      <c r="K87" s="1">
        <f t="shared" si="14"/>
        <v>0</v>
      </c>
      <c r="L87" s="1">
        <f t="shared" si="14"/>
        <v>0</v>
      </c>
      <c r="M87" s="1">
        <f t="shared" si="14"/>
        <v>0</v>
      </c>
      <c r="N87" s="1">
        <f t="shared" si="14"/>
        <v>0</v>
      </c>
      <c r="O87" s="1">
        <f t="shared" si="14"/>
        <v>0</v>
      </c>
      <c r="P87" s="1">
        <f t="shared" si="14"/>
        <v>0</v>
      </c>
      <c r="Q87" s="1">
        <f t="shared" si="14"/>
        <v>0</v>
      </c>
      <c r="R87" s="1">
        <f t="shared" si="14"/>
        <v>0</v>
      </c>
      <c r="S87" s="1">
        <f t="shared" si="14"/>
        <v>0</v>
      </c>
      <c r="T87" s="1">
        <f t="shared" si="14"/>
        <v>0</v>
      </c>
      <c r="U87" s="1">
        <f t="shared" si="16"/>
        <v>0</v>
      </c>
      <c r="V87" s="1">
        <f t="shared" si="16"/>
        <v>0</v>
      </c>
      <c r="W87" s="1">
        <f t="shared" si="16"/>
        <v>0</v>
      </c>
      <c r="X87" s="1">
        <f t="shared" si="16"/>
        <v>0</v>
      </c>
      <c r="Y87" s="1">
        <f t="shared" si="16"/>
        <v>0</v>
      </c>
      <c r="Z87" s="1">
        <f t="shared" si="16"/>
        <v>0</v>
      </c>
      <c r="AA87" s="1">
        <f t="shared" si="16"/>
        <v>0</v>
      </c>
      <c r="AB87" s="1">
        <f t="shared" si="16"/>
        <v>0</v>
      </c>
      <c r="AC87" s="1">
        <f t="shared" si="16"/>
        <v>0</v>
      </c>
      <c r="AD87" s="1">
        <f t="shared" si="16"/>
        <v>0</v>
      </c>
      <c r="AE87" s="1">
        <f t="shared" si="16"/>
        <v>0</v>
      </c>
      <c r="AF87" s="1">
        <f t="shared" si="16"/>
        <v>0</v>
      </c>
      <c r="AG87" s="1">
        <f t="shared" si="16"/>
        <v>0</v>
      </c>
      <c r="AH87" s="1">
        <f t="shared" si="16"/>
        <v>0</v>
      </c>
      <c r="AI87" s="1">
        <f t="shared" si="16"/>
        <v>0</v>
      </c>
      <c r="AJ87" s="1">
        <f t="shared" si="16"/>
        <v>0</v>
      </c>
      <c r="AK87" s="1">
        <f t="shared" si="16"/>
        <v>0</v>
      </c>
    </row>
    <row r="88" spans="3:37" s="1" customFormat="1" x14ac:dyDescent="0.15">
      <c r="C88" s="448" t="s">
        <v>55</v>
      </c>
      <c r="D88" s="449"/>
      <c r="E88" s="1">
        <f t="shared" si="14"/>
        <v>0</v>
      </c>
      <c r="F88" s="1">
        <f t="shared" si="14"/>
        <v>0</v>
      </c>
      <c r="G88" s="1">
        <f t="shared" si="14"/>
        <v>0</v>
      </c>
      <c r="H88" s="1">
        <f t="shared" si="14"/>
        <v>0</v>
      </c>
      <c r="I88" s="1">
        <f t="shared" si="14"/>
        <v>0</v>
      </c>
      <c r="J88" s="1">
        <f t="shared" si="14"/>
        <v>0</v>
      </c>
      <c r="K88" s="1">
        <f t="shared" si="14"/>
        <v>0</v>
      </c>
      <c r="L88" s="1">
        <f t="shared" si="14"/>
        <v>0</v>
      </c>
      <c r="M88" s="1">
        <f t="shared" si="14"/>
        <v>0</v>
      </c>
      <c r="N88" s="1">
        <f t="shared" si="14"/>
        <v>0</v>
      </c>
      <c r="O88" s="1">
        <f t="shared" si="14"/>
        <v>0</v>
      </c>
      <c r="P88" s="1">
        <f t="shared" si="14"/>
        <v>0</v>
      </c>
      <c r="Q88" s="1">
        <f t="shared" si="14"/>
        <v>0</v>
      </c>
      <c r="R88" s="1">
        <f t="shared" si="14"/>
        <v>0</v>
      </c>
      <c r="S88" s="1">
        <f t="shared" si="14"/>
        <v>0</v>
      </c>
      <c r="T88" s="1">
        <f t="shared" si="14"/>
        <v>0</v>
      </c>
      <c r="U88" s="1">
        <f t="shared" si="16"/>
        <v>0</v>
      </c>
      <c r="V88" s="1">
        <f t="shared" si="16"/>
        <v>0</v>
      </c>
      <c r="W88" s="1">
        <f t="shared" si="16"/>
        <v>0</v>
      </c>
      <c r="X88" s="1">
        <f t="shared" si="16"/>
        <v>0</v>
      </c>
      <c r="Y88" s="1">
        <f t="shared" si="16"/>
        <v>0</v>
      </c>
      <c r="Z88" s="1">
        <f t="shared" si="16"/>
        <v>0</v>
      </c>
      <c r="AA88" s="1">
        <f t="shared" si="16"/>
        <v>0</v>
      </c>
      <c r="AB88" s="1">
        <f t="shared" si="16"/>
        <v>0</v>
      </c>
      <c r="AC88" s="1">
        <f t="shared" si="16"/>
        <v>0</v>
      </c>
      <c r="AD88" s="1">
        <f t="shared" si="16"/>
        <v>0</v>
      </c>
      <c r="AE88" s="1">
        <f t="shared" si="16"/>
        <v>0</v>
      </c>
      <c r="AF88" s="1">
        <f t="shared" si="16"/>
        <v>0</v>
      </c>
      <c r="AG88" s="1">
        <f t="shared" si="16"/>
        <v>0</v>
      </c>
      <c r="AH88" s="1">
        <f t="shared" si="16"/>
        <v>0</v>
      </c>
      <c r="AI88" s="1">
        <f t="shared" si="16"/>
        <v>0</v>
      </c>
      <c r="AJ88" s="1">
        <f t="shared" si="16"/>
        <v>0</v>
      </c>
      <c r="AK88" s="1">
        <f t="shared" si="16"/>
        <v>0</v>
      </c>
    </row>
    <row r="89" spans="3:37" s="1" customFormat="1" x14ac:dyDescent="0.15">
      <c r="C89" s="448" t="s">
        <v>56</v>
      </c>
      <c r="D89" s="449"/>
      <c r="E89" s="1">
        <f t="shared" si="14"/>
        <v>0</v>
      </c>
      <c r="F89" s="1">
        <f t="shared" si="14"/>
        <v>0</v>
      </c>
      <c r="G89" s="1">
        <f t="shared" si="14"/>
        <v>0</v>
      </c>
      <c r="H89" s="1">
        <f t="shared" si="14"/>
        <v>0</v>
      </c>
      <c r="I89" s="1">
        <f t="shared" si="14"/>
        <v>0</v>
      </c>
      <c r="J89" s="1">
        <f t="shared" si="14"/>
        <v>0</v>
      </c>
      <c r="K89" s="1">
        <f t="shared" si="14"/>
        <v>0</v>
      </c>
      <c r="L89" s="1">
        <f t="shared" si="14"/>
        <v>0</v>
      </c>
      <c r="M89" s="1">
        <f t="shared" si="14"/>
        <v>0</v>
      </c>
      <c r="N89" s="1">
        <f t="shared" si="14"/>
        <v>0</v>
      </c>
      <c r="O89" s="1">
        <f t="shared" si="14"/>
        <v>0</v>
      </c>
      <c r="P89" s="1">
        <f t="shared" si="14"/>
        <v>0</v>
      </c>
      <c r="Q89" s="1">
        <f t="shared" si="14"/>
        <v>0</v>
      </c>
      <c r="R89" s="1">
        <f t="shared" si="14"/>
        <v>0</v>
      </c>
      <c r="S89" s="1">
        <f t="shared" si="14"/>
        <v>0</v>
      </c>
      <c r="T89" s="1">
        <f t="shared" si="14"/>
        <v>0</v>
      </c>
      <c r="U89" s="1">
        <f t="shared" si="16"/>
        <v>0</v>
      </c>
      <c r="V89" s="1">
        <f t="shared" si="16"/>
        <v>0</v>
      </c>
      <c r="W89" s="1">
        <f t="shared" si="16"/>
        <v>0</v>
      </c>
      <c r="X89" s="1">
        <f t="shared" si="16"/>
        <v>0</v>
      </c>
      <c r="Y89" s="1">
        <f t="shared" si="16"/>
        <v>0</v>
      </c>
      <c r="Z89" s="1">
        <f t="shared" si="16"/>
        <v>0</v>
      </c>
      <c r="AA89" s="1">
        <f t="shared" si="16"/>
        <v>0</v>
      </c>
      <c r="AB89" s="1">
        <f t="shared" si="16"/>
        <v>0</v>
      </c>
      <c r="AC89" s="1">
        <f t="shared" si="16"/>
        <v>0</v>
      </c>
      <c r="AD89" s="1">
        <f t="shared" si="16"/>
        <v>0</v>
      </c>
      <c r="AE89" s="1">
        <f t="shared" si="16"/>
        <v>0</v>
      </c>
      <c r="AF89" s="1">
        <f t="shared" si="16"/>
        <v>0</v>
      </c>
      <c r="AG89" s="1">
        <f t="shared" si="16"/>
        <v>0</v>
      </c>
      <c r="AH89" s="1">
        <f t="shared" si="16"/>
        <v>0</v>
      </c>
      <c r="AI89" s="1">
        <f t="shared" si="16"/>
        <v>0</v>
      </c>
      <c r="AJ89" s="1">
        <f t="shared" si="16"/>
        <v>0</v>
      </c>
      <c r="AK89" s="1">
        <f t="shared" si="16"/>
        <v>0</v>
      </c>
    </row>
    <row r="90" spans="3:37" s="1" customFormat="1" x14ac:dyDescent="0.15">
      <c r="C90" s="448" t="s">
        <v>57</v>
      </c>
      <c r="D90" s="449"/>
      <c r="E90" s="1">
        <f t="shared" si="14"/>
        <v>0</v>
      </c>
      <c r="F90" s="1">
        <f t="shared" si="14"/>
        <v>0</v>
      </c>
      <c r="G90" s="1">
        <f t="shared" si="14"/>
        <v>0</v>
      </c>
      <c r="H90" s="1">
        <f t="shared" si="14"/>
        <v>0</v>
      </c>
      <c r="I90" s="1">
        <f t="shared" si="14"/>
        <v>0</v>
      </c>
      <c r="J90" s="1">
        <f t="shared" si="14"/>
        <v>0</v>
      </c>
      <c r="K90" s="1">
        <f t="shared" si="14"/>
        <v>0</v>
      </c>
      <c r="L90" s="1">
        <f t="shared" si="14"/>
        <v>0</v>
      </c>
      <c r="M90" s="1">
        <f t="shared" si="14"/>
        <v>0</v>
      </c>
      <c r="N90" s="1">
        <f t="shared" si="14"/>
        <v>0</v>
      </c>
      <c r="O90" s="1">
        <f t="shared" si="14"/>
        <v>0</v>
      </c>
      <c r="P90" s="1">
        <f t="shared" si="14"/>
        <v>0</v>
      </c>
      <c r="Q90" s="1">
        <f t="shared" si="14"/>
        <v>0</v>
      </c>
      <c r="R90" s="1">
        <f t="shared" si="14"/>
        <v>0</v>
      </c>
      <c r="S90" s="1">
        <f t="shared" si="14"/>
        <v>0</v>
      </c>
      <c r="T90" s="1">
        <f t="shared" si="14"/>
        <v>0</v>
      </c>
      <c r="U90" s="1">
        <f t="shared" si="16"/>
        <v>0</v>
      </c>
      <c r="V90" s="1">
        <f t="shared" si="16"/>
        <v>0</v>
      </c>
      <c r="W90" s="1">
        <f t="shared" si="16"/>
        <v>0</v>
      </c>
      <c r="X90" s="1">
        <f t="shared" si="16"/>
        <v>0</v>
      </c>
      <c r="Y90" s="1">
        <f t="shared" si="16"/>
        <v>0</v>
      </c>
      <c r="Z90" s="1">
        <f t="shared" si="16"/>
        <v>0</v>
      </c>
      <c r="AA90" s="1">
        <f t="shared" si="16"/>
        <v>0</v>
      </c>
      <c r="AB90" s="1">
        <f t="shared" si="16"/>
        <v>0</v>
      </c>
      <c r="AC90" s="1">
        <f t="shared" si="16"/>
        <v>0</v>
      </c>
      <c r="AD90" s="1">
        <f t="shared" si="16"/>
        <v>0</v>
      </c>
      <c r="AE90" s="1">
        <f t="shared" si="16"/>
        <v>0</v>
      </c>
      <c r="AF90" s="1">
        <f t="shared" si="16"/>
        <v>0</v>
      </c>
      <c r="AG90" s="1">
        <f t="shared" si="16"/>
        <v>0</v>
      </c>
      <c r="AH90" s="1">
        <f t="shared" si="16"/>
        <v>0</v>
      </c>
      <c r="AI90" s="1">
        <f t="shared" si="16"/>
        <v>0</v>
      </c>
      <c r="AJ90" s="1">
        <f t="shared" si="16"/>
        <v>0</v>
      </c>
      <c r="AK90" s="1">
        <f t="shared" si="16"/>
        <v>0</v>
      </c>
    </row>
    <row r="91" spans="3:37" s="1" customFormat="1" x14ac:dyDescent="0.15">
      <c r="C91" s="448" t="s">
        <v>58</v>
      </c>
      <c r="D91" s="449"/>
      <c r="E91" s="1">
        <f t="shared" si="14"/>
        <v>0</v>
      </c>
      <c r="F91" s="1">
        <f t="shared" si="14"/>
        <v>0</v>
      </c>
      <c r="G91" s="1">
        <f t="shared" si="14"/>
        <v>0</v>
      </c>
      <c r="H91" s="1">
        <f t="shared" si="14"/>
        <v>0</v>
      </c>
      <c r="I91" s="1">
        <f t="shared" si="14"/>
        <v>0</v>
      </c>
      <c r="J91" s="1">
        <f t="shared" si="14"/>
        <v>0</v>
      </c>
      <c r="K91" s="1">
        <f t="shared" si="14"/>
        <v>0</v>
      </c>
      <c r="L91" s="1">
        <f t="shared" si="14"/>
        <v>0</v>
      </c>
      <c r="M91" s="1">
        <f t="shared" si="14"/>
        <v>0</v>
      </c>
      <c r="N91" s="1">
        <f t="shared" si="14"/>
        <v>0</v>
      </c>
      <c r="O91" s="1">
        <f t="shared" si="14"/>
        <v>0</v>
      </c>
      <c r="P91" s="1">
        <f t="shared" si="14"/>
        <v>0</v>
      </c>
      <c r="Q91" s="1">
        <f t="shared" si="14"/>
        <v>0</v>
      </c>
      <c r="R91" s="1">
        <f t="shared" si="14"/>
        <v>0</v>
      </c>
      <c r="S91" s="1">
        <f t="shared" si="14"/>
        <v>0</v>
      </c>
      <c r="T91" s="1">
        <f t="shared" si="14"/>
        <v>0</v>
      </c>
      <c r="U91" s="1">
        <f t="shared" si="16"/>
        <v>0</v>
      </c>
      <c r="V91" s="1">
        <f t="shared" si="16"/>
        <v>0</v>
      </c>
      <c r="W91" s="1">
        <f t="shared" si="16"/>
        <v>0</v>
      </c>
      <c r="X91" s="1">
        <f t="shared" si="16"/>
        <v>0</v>
      </c>
      <c r="Y91" s="1">
        <f t="shared" si="16"/>
        <v>0</v>
      </c>
      <c r="Z91" s="1">
        <f t="shared" si="16"/>
        <v>0</v>
      </c>
      <c r="AA91" s="1">
        <f t="shared" si="16"/>
        <v>0</v>
      </c>
      <c r="AB91" s="1">
        <f t="shared" si="16"/>
        <v>0</v>
      </c>
      <c r="AC91" s="1">
        <f t="shared" si="16"/>
        <v>0</v>
      </c>
      <c r="AD91" s="1">
        <f t="shared" si="16"/>
        <v>0</v>
      </c>
      <c r="AE91" s="1">
        <f t="shared" si="16"/>
        <v>0</v>
      </c>
      <c r="AF91" s="1">
        <f t="shared" si="16"/>
        <v>0</v>
      </c>
      <c r="AG91" s="1">
        <f t="shared" si="16"/>
        <v>0</v>
      </c>
      <c r="AH91" s="1">
        <f t="shared" si="16"/>
        <v>0</v>
      </c>
      <c r="AI91" s="1">
        <f t="shared" si="16"/>
        <v>0</v>
      </c>
      <c r="AJ91" s="1">
        <f t="shared" si="16"/>
        <v>0</v>
      </c>
      <c r="AK91" s="1">
        <f t="shared" si="16"/>
        <v>0</v>
      </c>
    </row>
    <row r="92" spans="3:37" s="1" customFormat="1" x14ac:dyDescent="0.15">
      <c r="C92" s="448">
        <v>0</v>
      </c>
      <c r="D92" s="449"/>
      <c r="E92" s="1">
        <f t="shared" si="14"/>
        <v>0</v>
      </c>
      <c r="F92" s="1">
        <f t="shared" si="14"/>
        <v>0</v>
      </c>
      <c r="G92" s="1">
        <f t="shared" si="14"/>
        <v>0</v>
      </c>
      <c r="H92" s="1">
        <f t="shared" si="14"/>
        <v>0</v>
      </c>
      <c r="I92" s="1">
        <f t="shared" si="14"/>
        <v>0</v>
      </c>
      <c r="J92" s="1">
        <f t="shared" si="14"/>
        <v>0</v>
      </c>
      <c r="K92" s="1">
        <f t="shared" si="14"/>
        <v>0</v>
      </c>
      <c r="L92" s="1">
        <f t="shared" si="14"/>
        <v>0</v>
      </c>
      <c r="M92" s="1">
        <f t="shared" si="14"/>
        <v>0</v>
      </c>
      <c r="N92" s="1">
        <f t="shared" si="14"/>
        <v>0</v>
      </c>
      <c r="O92" s="1">
        <f t="shared" si="14"/>
        <v>0</v>
      </c>
      <c r="P92" s="1">
        <f t="shared" si="14"/>
        <v>0</v>
      </c>
      <c r="Q92" s="1">
        <f t="shared" si="14"/>
        <v>0</v>
      </c>
      <c r="R92" s="1">
        <f t="shared" si="14"/>
        <v>0</v>
      </c>
      <c r="S92" s="1">
        <f t="shared" si="14"/>
        <v>0</v>
      </c>
      <c r="T92" s="1">
        <f t="shared" si="14"/>
        <v>0</v>
      </c>
      <c r="U92" s="1">
        <f t="shared" si="16"/>
        <v>0</v>
      </c>
      <c r="V92" s="1">
        <f t="shared" si="16"/>
        <v>0</v>
      </c>
      <c r="W92" s="1">
        <f t="shared" si="16"/>
        <v>0</v>
      </c>
      <c r="X92" s="1">
        <f t="shared" si="16"/>
        <v>0</v>
      </c>
      <c r="Y92" s="1">
        <f t="shared" si="16"/>
        <v>0</v>
      </c>
      <c r="Z92" s="1">
        <f t="shared" si="16"/>
        <v>0</v>
      </c>
      <c r="AA92" s="1">
        <f t="shared" si="16"/>
        <v>0</v>
      </c>
      <c r="AB92" s="1">
        <f t="shared" si="16"/>
        <v>0</v>
      </c>
      <c r="AC92" s="1">
        <f t="shared" si="16"/>
        <v>0</v>
      </c>
      <c r="AD92" s="1">
        <f t="shared" si="16"/>
        <v>0</v>
      </c>
      <c r="AE92" s="1">
        <f t="shared" si="16"/>
        <v>0</v>
      </c>
      <c r="AF92" s="1">
        <f t="shared" si="16"/>
        <v>0</v>
      </c>
      <c r="AG92" s="1">
        <f t="shared" si="16"/>
        <v>0</v>
      </c>
      <c r="AH92" s="1">
        <f t="shared" si="16"/>
        <v>0</v>
      </c>
      <c r="AI92" s="1">
        <f t="shared" si="16"/>
        <v>0</v>
      </c>
      <c r="AJ92" s="1">
        <f t="shared" si="16"/>
        <v>0</v>
      </c>
      <c r="AK92" s="1">
        <f t="shared" si="16"/>
        <v>0</v>
      </c>
    </row>
    <row r="93" spans="3:37" s="1" customFormat="1" x14ac:dyDescent="0.15">
      <c r="C93" s="448">
        <v>0</v>
      </c>
      <c r="D93" s="449"/>
      <c r="E93" s="1">
        <f t="shared" si="14"/>
        <v>0</v>
      </c>
      <c r="F93" s="1">
        <f t="shared" si="14"/>
        <v>0</v>
      </c>
      <c r="G93" s="1">
        <f t="shared" si="14"/>
        <v>0</v>
      </c>
      <c r="H93" s="1">
        <f t="shared" si="14"/>
        <v>0</v>
      </c>
      <c r="I93" s="1">
        <f t="shared" si="14"/>
        <v>0</v>
      </c>
      <c r="J93" s="1">
        <f t="shared" si="14"/>
        <v>0</v>
      </c>
      <c r="K93" s="1">
        <f t="shared" si="14"/>
        <v>0</v>
      </c>
      <c r="L93" s="1">
        <f t="shared" si="14"/>
        <v>0</v>
      </c>
      <c r="M93" s="1">
        <f t="shared" si="14"/>
        <v>0</v>
      </c>
      <c r="N93" s="1">
        <f t="shared" si="14"/>
        <v>0</v>
      </c>
      <c r="O93" s="1">
        <f t="shared" si="14"/>
        <v>0</v>
      </c>
      <c r="P93" s="1">
        <f t="shared" si="14"/>
        <v>0</v>
      </c>
      <c r="Q93" s="1">
        <f t="shared" si="14"/>
        <v>0</v>
      </c>
      <c r="R93" s="1">
        <f t="shared" si="14"/>
        <v>0</v>
      </c>
      <c r="S93" s="1">
        <f t="shared" si="14"/>
        <v>0</v>
      </c>
      <c r="T93" s="1">
        <f t="shared" si="14"/>
        <v>0</v>
      </c>
      <c r="U93" s="1">
        <f t="shared" si="16"/>
        <v>0</v>
      </c>
      <c r="V93" s="1">
        <f t="shared" si="16"/>
        <v>0</v>
      </c>
      <c r="W93" s="1">
        <f t="shared" si="16"/>
        <v>0</v>
      </c>
      <c r="X93" s="1">
        <f t="shared" si="16"/>
        <v>0</v>
      </c>
      <c r="Y93" s="1">
        <f t="shared" si="16"/>
        <v>0</v>
      </c>
      <c r="Z93" s="1">
        <f t="shared" si="16"/>
        <v>0</v>
      </c>
      <c r="AA93" s="1">
        <f t="shared" si="16"/>
        <v>0</v>
      </c>
      <c r="AB93" s="1">
        <f t="shared" si="16"/>
        <v>0</v>
      </c>
      <c r="AC93" s="1">
        <f t="shared" si="16"/>
        <v>0</v>
      </c>
      <c r="AD93" s="1">
        <f t="shared" si="16"/>
        <v>0</v>
      </c>
      <c r="AE93" s="1">
        <f t="shared" si="16"/>
        <v>0</v>
      </c>
      <c r="AF93" s="1">
        <f t="shared" si="16"/>
        <v>0</v>
      </c>
      <c r="AG93" s="1">
        <f t="shared" si="16"/>
        <v>0</v>
      </c>
      <c r="AH93" s="1">
        <f t="shared" si="16"/>
        <v>0</v>
      </c>
      <c r="AI93" s="1">
        <f t="shared" si="16"/>
        <v>0</v>
      </c>
      <c r="AJ93" s="1">
        <f t="shared" si="16"/>
        <v>0</v>
      </c>
      <c r="AK93" s="1">
        <f t="shared" si="16"/>
        <v>0</v>
      </c>
    </row>
    <row r="94" spans="3:37" s="1" customFormat="1" x14ac:dyDescent="0.15">
      <c r="C94" s="448">
        <v>0</v>
      </c>
      <c r="D94" s="449"/>
      <c r="E94" s="1">
        <f t="shared" si="14"/>
        <v>0</v>
      </c>
      <c r="F94" s="1">
        <f t="shared" si="14"/>
        <v>0</v>
      </c>
      <c r="G94" s="1">
        <f t="shared" si="14"/>
        <v>0</v>
      </c>
      <c r="H94" s="1">
        <f t="shared" si="14"/>
        <v>0</v>
      </c>
      <c r="I94" s="1">
        <f t="shared" si="14"/>
        <v>0</v>
      </c>
      <c r="J94" s="1">
        <f t="shared" si="14"/>
        <v>0</v>
      </c>
      <c r="K94" s="1">
        <f t="shared" si="14"/>
        <v>0</v>
      </c>
      <c r="L94" s="1">
        <f t="shared" si="14"/>
        <v>0</v>
      </c>
      <c r="M94" s="1">
        <f t="shared" si="14"/>
        <v>0</v>
      </c>
      <c r="N94" s="1">
        <f t="shared" si="14"/>
        <v>0</v>
      </c>
      <c r="O94" s="1">
        <f t="shared" si="14"/>
        <v>0</v>
      </c>
      <c r="P94" s="1">
        <f t="shared" si="14"/>
        <v>0</v>
      </c>
      <c r="Q94" s="1">
        <f t="shared" si="14"/>
        <v>0</v>
      </c>
      <c r="R94" s="1">
        <f t="shared" si="14"/>
        <v>0</v>
      </c>
      <c r="S94" s="1">
        <f t="shared" si="14"/>
        <v>0</v>
      </c>
      <c r="T94" s="1">
        <f t="shared" si="14"/>
        <v>0</v>
      </c>
      <c r="U94" s="1">
        <f t="shared" si="16"/>
        <v>0</v>
      </c>
      <c r="V94" s="1">
        <f t="shared" si="16"/>
        <v>0</v>
      </c>
      <c r="W94" s="1">
        <f t="shared" si="16"/>
        <v>0</v>
      </c>
      <c r="X94" s="1">
        <f t="shared" si="16"/>
        <v>0</v>
      </c>
      <c r="Y94" s="1">
        <f t="shared" si="16"/>
        <v>0</v>
      </c>
      <c r="Z94" s="1">
        <f t="shared" si="16"/>
        <v>0</v>
      </c>
      <c r="AA94" s="1">
        <f t="shared" si="16"/>
        <v>0</v>
      </c>
      <c r="AB94" s="1">
        <f t="shared" si="16"/>
        <v>0</v>
      </c>
      <c r="AC94" s="1">
        <f t="shared" si="16"/>
        <v>0</v>
      </c>
      <c r="AD94" s="1">
        <f t="shared" si="16"/>
        <v>0</v>
      </c>
      <c r="AE94" s="1">
        <f t="shared" si="16"/>
        <v>0</v>
      </c>
      <c r="AF94" s="1">
        <f t="shared" si="16"/>
        <v>0</v>
      </c>
      <c r="AG94" s="1">
        <f t="shared" si="16"/>
        <v>0</v>
      </c>
      <c r="AH94" s="1">
        <f t="shared" si="16"/>
        <v>0</v>
      </c>
      <c r="AI94" s="1">
        <f t="shared" si="16"/>
        <v>0</v>
      </c>
      <c r="AJ94" s="1">
        <f t="shared" si="16"/>
        <v>0</v>
      </c>
      <c r="AK94" s="1">
        <f t="shared" si="16"/>
        <v>0</v>
      </c>
    </row>
    <row r="95" spans="3:37" s="1" customFormat="1" x14ac:dyDescent="0.15">
      <c r="C95" s="448">
        <v>0</v>
      </c>
      <c r="D95" s="449"/>
      <c r="E95" s="1">
        <f t="shared" si="14"/>
        <v>0</v>
      </c>
      <c r="F95" s="1">
        <f t="shared" si="14"/>
        <v>0</v>
      </c>
      <c r="G95" s="1">
        <f t="shared" si="14"/>
        <v>0</v>
      </c>
      <c r="H95" s="1">
        <f t="shared" si="14"/>
        <v>0</v>
      </c>
      <c r="I95" s="1">
        <f t="shared" si="14"/>
        <v>0</v>
      </c>
      <c r="J95" s="1">
        <f t="shared" si="14"/>
        <v>0</v>
      </c>
      <c r="K95" s="1">
        <f t="shared" si="14"/>
        <v>0</v>
      </c>
      <c r="L95" s="1">
        <f t="shared" si="14"/>
        <v>0</v>
      </c>
      <c r="M95" s="1">
        <f t="shared" si="14"/>
        <v>0</v>
      </c>
      <c r="N95" s="1">
        <f t="shared" si="14"/>
        <v>0</v>
      </c>
      <c r="O95" s="1">
        <f t="shared" si="14"/>
        <v>0</v>
      </c>
      <c r="P95" s="1">
        <f t="shared" si="14"/>
        <v>0</v>
      </c>
      <c r="Q95" s="1">
        <f t="shared" si="14"/>
        <v>0</v>
      </c>
      <c r="R95" s="1">
        <f t="shared" si="14"/>
        <v>0</v>
      </c>
      <c r="S95" s="1">
        <f t="shared" si="14"/>
        <v>0</v>
      </c>
      <c r="T95" s="1">
        <f t="shared" si="14"/>
        <v>0</v>
      </c>
      <c r="U95" s="1">
        <f t="shared" si="16"/>
        <v>0</v>
      </c>
      <c r="V95" s="1">
        <f t="shared" si="16"/>
        <v>0</v>
      </c>
      <c r="W95" s="1">
        <f t="shared" si="16"/>
        <v>0</v>
      </c>
      <c r="X95" s="1">
        <f t="shared" si="16"/>
        <v>0</v>
      </c>
      <c r="Y95" s="1">
        <f t="shared" si="16"/>
        <v>0</v>
      </c>
      <c r="Z95" s="1">
        <f t="shared" si="16"/>
        <v>0</v>
      </c>
      <c r="AA95" s="1">
        <f t="shared" si="16"/>
        <v>0</v>
      </c>
      <c r="AB95" s="1">
        <f t="shared" si="16"/>
        <v>0</v>
      </c>
      <c r="AC95" s="1">
        <f t="shared" si="16"/>
        <v>0</v>
      </c>
      <c r="AD95" s="1">
        <f t="shared" si="16"/>
        <v>0</v>
      </c>
      <c r="AE95" s="1">
        <f t="shared" si="16"/>
        <v>0</v>
      </c>
      <c r="AF95" s="1">
        <f t="shared" si="16"/>
        <v>0</v>
      </c>
      <c r="AG95" s="1">
        <f t="shared" si="16"/>
        <v>0</v>
      </c>
      <c r="AH95" s="1">
        <f t="shared" si="16"/>
        <v>0</v>
      </c>
      <c r="AI95" s="1">
        <f t="shared" si="16"/>
        <v>0</v>
      </c>
      <c r="AJ95" s="1">
        <f t="shared" si="16"/>
        <v>0</v>
      </c>
      <c r="AK95" s="1">
        <f t="shared" si="16"/>
        <v>0</v>
      </c>
    </row>
    <row r="96" spans="3:37" s="1" customFormat="1" x14ac:dyDescent="0.15">
      <c r="C96" s="448">
        <v>0</v>
      </c>
      <c r="D96" s="449"/>
      <c r="E96" s="1">
        <f t="shared" si="14"/>
        <v>0</v>
      </c>
      <c r="F96" s="1">
        <f t="shared" si="14"/>
        <v>0</v>
      </c>
      <c r="G96" s="1">
        <f t="shared" si="14"/>
        <v>0</v>
      </c>
      <c r="H96" s="1">
        <f t="shared" si="14"/>
        <v>0</v>
      </c>
      <c r="I96" s="1">
        <f t="shared" si="14"/>
        <v>0</v>
      </c>
      <c r="J96" s="1">
        <f t="shared" si="14"/>
        <v>0</v>
      </c>
      <c r="K96" s="1">
        <f t="shared" si="14"/>
        <v>0</v>
      </c>
      <c r="L96" s="1">
        <f t="shared" si="14"/>
        <v>0</v>
      </c>
      <c r="M96" s="1">
        <f t="shared" si="14"/>
        <v>0</v>
      </c>
      <c r="N96" s="1">
        <f t="shared" si="14"/>
        <v>0</v>
      </c>
      <c r="O96" s="1">
        <f t="shared" si="14"/>
        <v>0</v>
      </c>
      <c r="P96" s="1">
        <f t="shared" si="14"/>
        <v>0</v>
      </c>
      <c r="Q96" s="1">
        <f t="shared" si="14"/>
        <v>0</v>
      </c>
      <c r="R96" s="1">
        <f t="shared" si="14"/>
        <v>0</v>
      </c>
      <c r="S96" s="1">
        <f t="shared" si="14"/>
        <v>0</v>
      </c>
      <c r="T96" s="1">
        <f t="shared" si="14"/>
        <v>0</v>
      </c>
      <c r="U96" s="1">
        <f t="shared" si="16"/>
        <v>0</v>
      </c>
      <c r="V96" s="1">
        <f t="shared" si="16"/>
        <v>0</v>
      </c>
      <c r="W96" s="1">
        <f t="shared" si="16"/>
        <v>0</v>
      </c>
      <c r="X96" s="1">
        <f t="shared" si="16"/>
        <v>0</v>
      </c>
      <c r="Y96" s="1">
        <f t="shared" si="16"/>
        <v>0</v>
      </c>
      <c r="Z96" s="1">
        <f t="shared" si="16"/>
        <v>0</v>
      </c>
      <c r="AA96" s="1">
        <f t="shared" si="16"/>
        <v>0</v>
      </c>
      <c r="AB96" s="1">
        <f t="shared" si="16"/>
        <v>0</v>
      </c>
      <c r="AC96" s="1">
        <f t="shared" si="16"/>
        <v>0</v>
      </c>
      <c r="AD96" s="1">
        <f t="shared" si="16"/>
        <v>0</v>
      </c>
      <c r="AE96" s="1">
        <f t="shared" si="16"/>
        <v>0</v>
      </c>
      <c r="AF96" s="1">
        <f t="shared" si="16"/>
        <v>0</v>
      </c>
      <c r="AG96" s="1">
        <f t="shared" si="16"/>
        <v>0</v>
      </c>
      <c r="AH96" s="1">
        <f t="shared" si="16"/>
        <v>0</v>
      </c>
      <c r="AI96" s="1">
        <f t="shared" si="16"/>
        <v>0</v>
      </c>
      <c r="AJ96" s="1">
        <f t="shared" si="16"/>
        <v>0</v>
      </c>
      <c r="AK96" s="1">
        <f t="shared" si="16"/>
        <v>0</v>
      </c>
    </row>
    <row r="97" spans="5:37" x14ac:dyDescent="0.15"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</row>
    <row r="98" spans="5:37" x14ac:dyDescent="0.15"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</row>
    <row r="99" spans="5:37" x14ac:dyDescent="0.15"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</row>
    <row r="100" spans="5:37" x14ac:dyDescent="0.15"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</row>
    <row r="101" spans="5:37" x14ac:dyDescent="0.15"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</row>
    <row r="102" spans="5:37" x14ac:dyDescent="0.15"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</row>
    <row r="103" spans="5:37" x14ac:dyDescent="0.15"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</row>
    <row r="104" spans="5:37" x14ac:dyDescent="0.15"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</row>
    <row r="105" spans="5:37" x14ac:dyDescent="0.15"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</row>
    <row r="106" spans="5:37" x14ac:dyDescent="0.15"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</row>
    <row r="107" spans="5:37" x14ac:dyDescent="0.15"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</row>
    <row r="108" spans="5:37" x14ac:dyDescent="0.15"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</row>
    <row r="109" spans="5:37" x14ac:dyDescent="0.15"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</row>
    <row r="110" spans="5:37" x14ac:dyDescent="0.15"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</row>
    <row r="111" spans="5:37" x14ac:dyDescent="0.15"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</row>
    <row r="112" spans="5:37" x14ac:dyDescent="0.15"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</row>
    <row r="113" spans="5:37" x14ac:dyDescent="0.15"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</row>
    <row r="114" spans="5:37" x14ac:dyDescent="0.15"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</row>
    <row r="115" spans="5:37" x14ac:dyDescent="0.15"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</row>
    <row r="116" spans="5:37" x14ac:dyDescent="0.15"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</row>
    <row r="117" spans="5:37" x14ac:dyDescent="0.15"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</row>
    <row r="118" spans="5:37" x14ac:dyDescent="0.15"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</row>
    <row r="119" spans="5:37" x14ac:dyDescent="0.15"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</row>
    <row r="120" spans="5:37" x14ac:dyDescent="0.15"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</row>
    <row r="121" spans="5:37" x14ac:dyDescent="0.15"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</row>
    <row r="122" spans="5:37" x14ac:dyDescent="0.15"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</row>
    <row r="123" spans="5:37" x14ac:dyDescent="0.15"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</row>
    <row r="124" spans="5:37" x14ac:dyDescent="0.15"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</row>
    <row r="125" spans="5:37" x14ac:dyDescent="0.15"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</row>
    <row r="126" spans="5:37" x14ac:dyDescent="0.15"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</row>
    <row r="127" spans="5:37" x14ac:dyDescent="0.15"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</row>
    <row r="128" spans="5:37" x14ac:dyDescent="0.15"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</row>
    <row r="129" spans="5:37" x14ac:dyDescent="0.15"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</row>
    <row r="130" spans="5:37" x14ac:dyDescent="0.15"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</row>
    <row r="131" spans="5:37" x14ac:dyDescent="0.15"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</row>
    <row r="132" spans="5:37" x14ac:dyDescent="0.15"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</row>
    <row r="133" spans="5:37" x14ac:dyDescent="0.15"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</row>
    <row r="134" spans="5:37" x14ac:dyDescent="0.15"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</row>
    <row r="135" spans="5:37" x14ac:dyDescent="0.15"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</row>
    <row r="136" spans="5:37" x14ac:dyDescent="0.15"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</row>
    <row r="137" spans="5:37" x14ac:dyDescent="0.15"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</row>
    <row r="138" spans="5:37" x14ac:dyDescent="0.15"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</row>
    <row r="139" spans="5:37" x14ac:dyDescent="0.15"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</row>
    <row r="140" spans="5:37" x14ac:dyDescent="0.15"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</row>
    <row r="141" spans="5:37" x14ac:dyDescent="0.15"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</row>
    <row r="142" spans="5:37" x14ac:dyDescent="0.15"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</row>
    <row r="143" spans="5:37" x14ac:dyDescent="0.15"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</row>
    <row r="144" spans="5:37" x14ac:dyDescent="0.15"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</row>
    <row r="145" spans="5:37" x14ac:dyDescent="0.15"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</row>
    <row r="146" spans="5:37" x14ac:dyDescent="0.15"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</row>
    <row r="147" spans="5:37" x14ac:dyDescent="0.15"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</row>
    <row r="148" spans="5:37" x14ac:dyDescent="0.15"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</row>
    <row r="149" spans="5:37" x14ac:dyDescent="0.15"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</row>
    <row r="150" spans="5:37" x14ac:dyDescent="0.15"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</row>
    <row r="151" spans="5:37" x14ac:dyDescent="0.15"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</row>
    <row r="152" spans="5:37" x14ac:dyDescent="0.15"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</row>
    <row r="153" spans="5:37" x14ac:dyDescent="0.15"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</row>
    <row r="154" spans="5:37" x14ac:dyDescent="0.15"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</row>
    <row r="155" spans="5:37" x14ac:dyDescent="0.15"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</row>
    <row r="156" spans="5:37" x14ac:dyDescent="0.15"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</row>
    <row r="157" spans="5:37" x14ac:dyDescent="0.15"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</row>
    <row r="158" spans="5:37" x14ac:dyDescent="0.15"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</row>
    <row r="159" spans="5:37" x14ac:dyDescent="0.15"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</row>
    <row r="160" spans="5:37" x14ac:dyDescent="0.15"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</row>
    <row r="161" spans="5:37" x14ac:dyDescent="0.15"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</row>
    <row r="162" spans="5:37" x14ac:dyDescent="0.15"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</row>
    <row r="163" spans="5:37" x14ac:dyDescent="0.15"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</row>
    <row r="164" spans="5:37" x14ac:dyDescent="0.15"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</row>
    <row r="165" spans="5:37" x14ac:dyDescent="0.15"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</row>
    <row r="166" spans="5:37" x14ac:dyDescent="0.15"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</row>
    <row r="167" spans="5:37" x14ac:dyDescent="0.15"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</row>
    <row r="168" spans="5:37" x14ac:dyDescent="0.15"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</row>
    <row r="169" spans="5:37" x14ac:dyDescent="0.15"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</row>
    <row r="170" spans="5:37" x14ac:dyDescent="0.15"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</row>
    <row r="171" spans="5:37" x14ac:dyDescent="0.15"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</row>
    <row r="172" spans="5:37" x14ac:dyDescent="0.15"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</row>
    <row r="173" spans="5:37" x14ac:dyDescent="0.15"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</row>
    <row r="174" spans="5:37" x14ac:dyDescent="0.15"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</row>
    <row r="175" spans="5:37" x14ac:dyDescent="0.15"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</row>
    <row r="176" spans="5:37" x14ac:dyDescent="0.15"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</row>
    <row r="177" spans="5:37" x14ac:dyDescent="0.15"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</row>
    <row r="178" spans="5:37" x14ac:dyDescent="0.15"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</row>
    <row r="179" spans="5:37" x14ac:dyDescent="0.15"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</row>
    <row r="180" spans="5:37" x14ac:dyDescent="0.15"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</row>
    <row r="181" spans="5:37" x14ac:dyDescent="0.15"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</row>
    <row r="182" spans="5:37" x14ac:dyDescent="0.15"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</row>
    <row r="183" spans="5:37" x14ac:dyDescent="0.15"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</row>
    <row r="184" spans="5:37" x14ac:dyDescent="0.15"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</row>
    <row r="185" spans="5:37" x14ac:dyDescent="0.15"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</row>
    <row r="186" spans="5:37" x14ac:dyDescent="0.15"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</row>
    <row r="187" spans="5:37" x14ac:dyDescent="0.15"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</row>
    <row r="188" spans="5:37" x14ac:dyDescent="0.15"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</row>
    <row r="189" spans="5:37" x14ac:dyDescent="0.15"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</row>
    <row r="190" spans="5:37" x14ac:dyDescent="0.15"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</row>
    <row r="191" spans="5:37" x14ac:dyDescent="0.15"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</row>
    <row r="192" spans="5:37" x14ac:dyDescent="0.15"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</row>
    <row r="193" spans="5:37" x14ac:dyDescent="0.15"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</row>
    <row r="194" spans="5:37" x14ac:dyDescent="0.15"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</row>
    <row r="195" spans="5:37" x14ac:dyDescent="0.15"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</row>
    <row r="196" spans="5:37" x14ac:dyDescent="0.15"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</row>
    <row r="197" spans="5:37" x14ac:dyDescent="0.15"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</row>
    <row r="198" spans="5:37" x14ac:dyDescent="0.15"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</row>
    <row r="199" spans="5:37" x14ac:dyDescent="0.15"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</row>
    <row r="200" spans="5:37" x14ac:dyDescent="0.15"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</row>
    <row r="201" spans="5:37" x14ac:dyDescent="0.15"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</row>
    <row r="202" spans="5:37" x14ac:dyDescent="0.15"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</row>
    <row r="203" spans="5:37" x14ac:dyDescent="0.15"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</row>
    <row r="204" spans="5:37" x14ac:dyDescent="0.15"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</row>
    <row r="205" spans="5:37" x14ac:dyDescent="0.15"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</row>
    <row r="206" spans="5:37" x14ac:dyDescent="0.15"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</row>
    <row r="207" spans="5:37" x14ac:dyDescent="0.15"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</row>
    <row r="208" spans="5:37" x14ac:dyDescent="0.15"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</row>
    <row r="209" spans="5:37" x14ac:dyDescent="0.15"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</row>
    <row r="210" spans="5:37" x14ac:dyDescent="0.15"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</row>
    <row r="211" spans="5:37" x14ac:dyDescent="0.15"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</row>
    <row r="212" spans="5:37" x14ac:dyDescent="0.15"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</row>
    <row r="213" spans="5:37" x14ac:dyDescent="0.15"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</row>
    <row r="214" spans="5:37" x14ac:dyDescent="0.15"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</row>
    <row r="215" spans="5:37" x14ac:dyDescent="0.15"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</row>
    <row r="216" spans="5:37" x14ac:dyDescent="0.15"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</row>
    <row r="217" spans="5:37" x14ac:dyDescent="0.15"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</row>
    <row r="218" spans="5:37" x14ac:dyDescent="0.15"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</row>
    <row r="219" spans="5:37" x14ac:dyDescent="0.15"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</row>
    <row r="220" spans="5:37" x14ac:dyDescent="0.15"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</row>
    <row r="221" spans="5:37" x14ac:dyDescent="0.15"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</row>
    <row r="222" spans="5:37" x14ac:dyDescent="0.15"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</row>
    <row r="223" spans="5:37" x14ac:dyDescent="0.15"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</row>
    <row r="224" spans="5:37" x14ac:dyDescent="0.15"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</row>
    <row r="225" spans="5:37" x14ac:dyDescent="0.15"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</row>
    <row r="226" spans="5:37" x14ac:dyDescent="0.15"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</row>
    <row r="227" spans="5:37" x14ac:dyDescent="0.15"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</row>
    <row r="228" spans="5:37" x14ac:dyDescent="0.15"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</row>
    <row r="229" spans="5:37" x14ac:dyDescent="0.15"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</row>
    <row r="230" spans="5:37" x14ac:dyDescent="0.15"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</row>
    <row r="231" spans="5:37" x14ac:dyDescent="0.15"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</row>
    <row r="232" spans="5:37" x14ac:dyDescent="0.15"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</row>
    <row r="233" spans="5:37" x14ac:dyDescent="0.15"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</row>
    <row r="234" spans="5:37" x14ac:dyDescent="0.15"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</row>
    <row r="235" spans="5:37" x14ac:dyDescent="0.15"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</row>
    <row r="236" spans="5:37" x14ac:dyDescent="0.15"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</row>
    <row r="237" spans="5:37" x14ac:dyDescent="0.15"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</row>
    <row r="238" spans="5:37" x14ac:dyDescent="0.15"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</row>
    <row r="239" spans="5:37" x14ac:dyDescent="0.15"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</row>
    <row r="240" spans="5:37" x14ac:dyDescent="0.15"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</row>
    <row r="241" spans="5:37" x14ac:dyDescent="0.15"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</row>
    <row r="242" spans="5:37" x14ac:dyDescent="0.15"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</row>
    <row r="243" spans="5:37" x14ac:dyDescent="0.15"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</row>
    <row r="244" spans="5:37" x14ac:dyDescent="0.15"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</row>
    <row r="245" spans="5:37" x14ac:dyDescent="0.15"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</row>
    <row r="246" spans="5:37" x14ac:dyDescent="0.15"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</row>
    <row r="247" spans="5:37" x14ac:dyDescent="0.15"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</row>
    <row r="248" spans="5:37" x14ac:dyDescent="0.15"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</row>
    <row r="249" spans="5:37" x14ac:dyDescent="0.15"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</row>
    <row r="250" spans="5:37" x14ac:dyDescent="0.15"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</row>
    <row r="251" spans="5:37" x14ac:dyDescent="0.15"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</row>
    <row r="252" spans="5:37" x14ac:dyDescent="0.15"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</row>
    <row r="253" spans="5:37" x14ac:dyDescent="0.15"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</row>
    <row r="254" spans="5:37" x14ac:dyDescent="0.15"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</row>
    <row r="255" spans="5:37" x14ac:dyDescent="0.15"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</row>
    <row r="256" spans="5:37" x14ac:dyDescent="0.15"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</row>
    <row r="257" spans="5:37" x14ac:dyDescent="0.15"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</row>
    <row r="258" spans="5:37" x14ac:dyDescent="0.15"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</row>
    <row r="259" spans="5:37" x14ac:dyDescent="0.15"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</row>
    <row r="260" spans="5:37" x14ac:dyDescent="0.15"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</row>
    <row r="261" spans="5:37" x14ac:dyDescent="0.15"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</row>
    <row r="262" spans="5:37" x14ac:dyDescent="0.15"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</row>
    <row r="263" spans="5:37" x14ac:dyDescent="0.15"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</row>
    <row r="264" spans="5:37" x14ac:dyDescent="0.15"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</row>
    <row r="265" spans="5:37" x14ac:dyDescent="0.15"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</row>
    <row r="266" spans="5:37" x14ac:dyDescent="0.15"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</row>
    <row r="267" spans="5:37" x14ac:dyDescent="0.15"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</row>
    <row r="268" spans="5:37" x14ac:dyDescent="0.15"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</row>
    <row r="269" spans="5:37" x14ac:dyDescent="0.15"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</row>
    <row r="270" spans="5:37" x14ac:dyDescent="0.15"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</row>
    <row r="271" spans="5:37" x14ac:dyDescent="0.15"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</row>
    <row r="272" spans="5:37" x14ac:dyDescent="0.15"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</row>
    <row r="273" spans="5:37" x14ac:dyDescent="0.15"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</row>
    <row r="274" spans="5:37" x14ac:dyDescent="0.15"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</row>
    <row r="275" spans="5:37" x14ac:dyDescent="0.15"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</row>
    <row r="276" spans="5:37" x14ac:dyDescent="0.15"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</row>
    <row r="277" spans="5:37" x14ac:dyDescent="0.15"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</row>
    <row r="278" spans="5:37" x14ac:dyDescent="0.15"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</row>
    <row r="279" spans="5:37" x14ac:dyDescent="0.15"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</row>
    <row r="280" spans="5:37" x14ac:dyDescent="0.15"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</row>
    <row r="281" spans="5:37" x14ac:dyDescent="0.15"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</row>
    <row r="282" spans="5:37" x14ac:dyDescent="0.15"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</row>
    <row r="283" spans="5:37" x14ac:dyDescent="0.15"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</row>
    <row r="284" spans="5:37" x14ac:dyDescent="0.15"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</row>
    <row r="285" spans="5:37" x14ac:dyDescent="0.15"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</row>
    <row r="286" spans="5:37" x14ac:dyDescent="0.15"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</row>
    <row r="287" spans="5:37" x14ac:dyDescent="0.15"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</row>
    <row r="288" spans="5:37" x14ac:dyDescent="0.15"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</row>
    <row r="289" spans="5:37" x14ac:dyDescent="0.15"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</row>
    <row r="290" spans="5:37" x14ac:dyDescent="0.15"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</row>
    <row r="291" spans="5:37" x14ac:dyDescent="0.15"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</row>
    <row r="292" spans="5:37" x14ac:dyDescent="0.15"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</row>
    <row r="293" spans="5:37" x14ac:dyDescent="0.15"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</row>
    <row r="294" spans="5:37" x14ac:dyDescent="0.15"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</row>
    <row r="295" spans="5:37" x14ac:dyDescent="0.15"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</row>
    <row r="296" spans="5:37" x14ac:dyDescent="0.15"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</row>
    <row r="297" spans="5:37" x14ac:dyDescent="0.15"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</row>
    <row r="298" spans="5:37" x14ac:dyDescent="0.15"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</row>
    <row r="299" spans="5:37" x14ac:dyDescent="0.15"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</row>
    <row r="300" spans="5:37" x14ac:dyDescent="0.15"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</row>
    <row r="301" spans="5:37" x14ac:dyDescent="0.15"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</row>
    <row r="302" spans="5:37" x14ac:dyDescent="0.15"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</row>
    <row r="303" spans="5:37" x14ac:dyDescent="0.15"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</row>
    <row r="304" spans="5:37" x14ac:dyDescent="0.15"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</row>
    <row r="305" spans="5:37" x14ac:dyDescent="0.15"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</row>
    <row r="306" spans="5:37" x14ac:dyDescent="0.15"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</row>
    <row r="307" spans="5:37" x14ac:dyDescent="0.15"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</row>
    <row r="308" spans="5:37" x14ac:dyDescent="0.15"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</row>
    <row r="309" spans="5:37" x14ac:dyDescent="0.15"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</row>
    <row r="310" spans="5:37" x14ac:dyDescent="0.15"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</row>
    <row r="311" spans="5:37" x14ac:dyDescent="0.15"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</row>
    <row r="312" spans="5:37" x14ac:dyDescent="0.15"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</row>
    <row r="313" spans="5:37" x14ac:dyDescent="0.15"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</row>
    <row r="314" spans="5:37" x14ac:dyDescent="0.15"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</row>
    <row r="315" spans="5:37" x14ac:dyDescent="0.15"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</row>
    <row r="316" spans="5:37" x14ac:dyDescent="0.15"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</row>
    <row r="317" spans="5:37" x14ac:dyDescent="0.15"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</row>
    <row r="318" spans="5:37" x14ac:dyDescent="0.15"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</row>
    <row r="319" spans="5:37" x14ac:dyDescent="0.15"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</row>
    <row r="320" spans="5:37" x14ac:dyDescent="0.15"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</row>
    <row r="321" spans="5:37" x14ac:dyDescent="0.15"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</row>
    <row r="322" spans="5:37" x14ac:dyDescent="0.15"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</row>
    <row r="323" spans="5:37" x14ac:dyDescent="0.15"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</row>
    <row r="324" spans="5:37" x14ac:dyDescent="0.15"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</row>
    <row r="325" spans="5:37" x14ac:dyDescent="0.15"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</row>
    <row r="326" spans="5:37" x14ac:dyDescent="0.15"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</row>
    <row r="327" spans="5:37" x14ac:dyDescent="0.15"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</row>
    <row r="328" spans="5:37" x14ac:dyDescent="0.15"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</row>
    <row r="329" spans="5:37" x14ac:dyDescent="0.15"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</row>
    <row r="330" spans="5:37" x14ac:dyDescent="0.15"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</row>
    <row r="331" spans="5:37" x14ac:dyDescent="0.15"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</row>
    <row r="332" spans="5:37" x14ac:dyDescent="0.15"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</row>
    <row r="333" spans="5:37" x14ac:dyDescent="0.15"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</row>
  </sheetData>
  <sheetProtection formatCells="0" formatColumns="0" formatRows="0"/>
  <mergeCells count="60">
    <mergeCell ref="AU3:AU4"/>
    <mergeCell ref="AV3:AV4"/>
    <mergeCell ref="AR3:AR4"/>
    <mergeCell ref="AN3:AN4"/>
    <mergeCell ref="C85:D85"/>
    <mergeCell ref="C82:D82"/>
    <mergeCell ref="C83:D83"/>
    <mergeCell ref="C84:D84"/>
    <mergeCell ref="AQ3:AQ4"/>
    <mergeCell ref="AP3:AP4"/>
    <mergeCell ref="AO3:AO4"/>
    <mergeCell ref="AS3:AS4"/>
    <mergeCell ref="AT3:AT4"/>
    <mergeCell ref="C86:D86"/>
    <mergeCell ref="C94:D94"/>
    <mergeCell ref="C95:D95"/>
    <mergeCell ref="C96:D96"/>
    <mergeCell ref="C88:D88"/>
    <mergeCell ref="C89:D89"/>
    <mergeCell ref="C90:D90"/>
    <mergeCell ref="C91:D91"/>
    <mergeCell ref="C92:D92"/>
    <mergeCell ref="C93:D93"/>
    <mergeCell ref="C87:D87"/>
    <mergeCell ref="BD19:BF19"/>
    <mergeCell ref="C81:D81"/>
    <mergeCell ref="A66:D66"/>
    <mergeCell ref="E66:J66"/>
    <mergeCell ref="K66:P66"/>
    <mergeCell ref="Q66:U66"/>
    <mergeCell ref="AH66:AK66"/>
    <mergeCell ref="C77:D77"/>
    <mergeCell ref="C78:D78"/>
    <mergeCell ref="C79:D79"/>
    <mergeCell ref="C80:D80"/>
    <mergeCell ref="V66:AA66"/>
    <mergeCell ref="AB66:AG66"/>
    <mergeCell ref="A51:A65"/>
    <mergeCell ref="A21:A30"/>
    <mergeCell ref="A31:A40"/>
    <mergeCell ref="A41:A50"/>
    <mergeCell ref="A5:A9"/>
    <mergeCell ref="A10:A14"/>
    <mergeCell ref="A15:A19"/>
    <mergeCell ref="AH3:AK3"/>
    <mergeCell ref="AB1:AE2"/>
    <mergeCell ref="AF1:AG2"/>
    <mergeCell ref="A2:D2"/>
    <mergeCell ref="A3:B4"/>
    <mergeCell ref="C3:D4"/>
    <mergeCell ref="E3:J3"/>
    <mergeCell ref="K3:P3"/>
    <mergeCell ref="Q3:U3"/>
    <mergeCell ref="V3:AA3"/>
    <mergeCell ref="AB3:AG3"/>
    <mergeCell ref="A1:D1"/>
    <mergeCell ref="E1:X2"/>
    <mergeCell ref="Y1:Y2"/>
    <mergeCell ref="Z1:Z2"/>
    <mergeCell ref="AA1:AA2"/>
  </mergeCells>
  <phoneticPr fontId="2"/>
  <conditionalFormatting sqref="C5:D19">
    <cfRule type="cellIs" dxfId="27" priority="1" operator="equal">
      <formula>0</formula>
    </cfRule>
  </conditionalFormatting>
  <conditionalFormatting sqref="E21:J65">
    <cfRule type="expression" dxfId="26" priority="12">
      <formula>COUNTIF($E21:$J21,E21)&gt;=2</formula>
    </cfRule>
  </conditionalFormatting>
  <conditionalFormatting sqref="E5:AK19">
    <cfRule type="containsBlanks" dxfId="25" priority="23">
      <formula>LEN(TRIM(E5))=0</formula>
    </cfRule>
  </conditionalFormatting>
  <conditionalFormatting sqref="E21:AK55 F56:AK56 E57:AK65">
    <cfRule type="cellIs" dxfId="24" priority="13" operator="equal">
      <formula>"登校支援"</formula>
    </cfRule>
    <cfRule type="cellIs" dxfId="23" priority="14" operator="equal">
      <formula>"特支"</formula>
    </cfRule>
    <cfRule type="cellIs" dxfId="22" priority="15" operator="equal">
      <formula>"いじめ"</formula>
    </cfRule>
    <cfRule type="cellIs" dxfId="21" priority="16" operator="equal">
      <formula>"校内"</formula>
    </cfRule>
    <cfRule type="cellIs" dxfId="20" priority="24" operator="equal">
      <formula>"生活"</formula>
    </cfRule>
    <cfRule type="cellIs" dxfId="19" priority="25" operator="equal">
      <formula>"企画"</formula>
    </cfRule>
    <cfRule type="cellIs" dxfId="18" priority="26" operator="equal">
      <formula>"道徳"</formula>
    </cfRule>
    <cfRule type="cellIs" dxfId="17" priority="27" operator="equal">
      <formula>"総合"</formula>
    </cfRule>
    <cfRule type="cellIs" dxfId="16" priority="28" operator="equal">
      <formula>"学活"</formula>
    </cfRule>
  </conditionalFormatting>
  <conditionalFormatting sqref="E21:AK65">
    <cfRule type="expression" dxfId="15" priority="2">
      <formula>_xlfn.XLOOKUP(RIGHT(E21,3),$C$77:$C$96,E$77:E$96)&gt;=4</formula>
    </cfRule>
    <cfRule type="expression" dxfId="14" priority="3">
      <formula>_xlfn.XLOOKUP(LEFT(E21,3),$C$77:$C$96,E$77:E$96)&gt;=4</formula>
    </cfRule>
    <cfRule type="expression" dxfId="13" priority="4">
      <formula>_xlfn.XLOOKUP(RIGHT(E21,3),$C$77:$C$96,E$77:E$96)=3</formula>
    </cfRule>
    <cfRule type="expression" dxfId="12" priority="5">
      <formula>_xlfn.XLOOKUP(LEFT(E21,3),$C$77:$C$96,E$77:E$96)=3</formula>
    </cfRule>
    <cfRule type="expression" dxfId="11" priority="6">
      <formula>_xlfn.XLOOKUP(RIGHT(E21,3),$C$77:$C$96,E$77:E$96)=2</formula>
    </cfRule>
    <cfRule type="expression" dxfId="10" priority="7">
      <formula>_xlfn.XLOOKUP(LEFT(E21,3),$C$77:$C$96,E$77:E$96)=2</formula>
    </cfRule>
  </conditionalFormatting>
  <conditionalFormatting sqref="K21:P65">
    <cfRule type="expression" dxfId="9" priority="11">
      <formula>COUNTIF($K21:$P21,K21)&gt;=2</formula>
    </cfRule>
  </conditionalFormatting>
  <conditionalFormatting sqref="Q21:U65">
    <cfRule type="expression" dxfId="8" priority="10">
      <formula>COUNTIF($Q21:$U21,Q21)&gt;=2</formula>
    </cfRule>
  </conditionalFormatting>
  <conditionalFormatting sqref="V21:AA65">
    <cfRule type="expression" dxfId="7" priority="9">
      <formula>COUNTIF($V21:$AA21,V21)&gt;=2</formula>
    </cfRule>
  </conditionalFormatting>
  <conditionalFormatting sqref="AB21:AG65">
    <cfRule type="expression" dxfId="6" priority="8">
      <formula>COUNTIF($AB21:$AG21,AB21)&gt;=2</formula>
    </cfRule>
  </conditionalFormatting>
  <conditionalFormatting sqref="AN21:AR65">
    <cfRule type="expression" dxfId="5" priority="21">
      <formula>AN21&gt;$BD21</formula>
    </cfRule>
    <cfRule type="expression" dxfId="4" priority="22">
      <formula>AN21&lt;$BD21</formula>
    </cfRule>
  </conditionalFormatting>
  <conditionalFormatting sqref="AS21:AW65">
    <cfRule type="expression" dxfId="3" priority="19">
      <formula>AS21&gt;$BE21</formula>
    </cfRule>
    <cfRule type="expression" dxfId="2" priority="20">
      <formula>AS21&lt;$BE21</formula>
    </cfRule>
  </conditionalFormatting>
  <conditionalFormatting sqref="AX21:BB65">
    <cfRule type="expression" dxfId="1" priority="17">
      <formula>AX21&gt;$BF21</formula>
    </cfRule>
    <cfRule type="expression" dxfId="0" priority="18">
      <formula>AX21&lt;$BF21</formula>
    </cfRule>
  </conditionalFormatting>
  <dataValidations count="3">
    <dataValidation type="list" errorStyle="warning" allowBlank="1" showInputMessage="1" showErrorMessage="1" sqref="AC31" xr:uid="{52C07C93-6149-42FB-AE1E-8EF7791B72A4}">
      <formula1>INDIRECT(_xlfn.CONCAT("担当!I",ROW(Z31)-18,":X",ROW(Z31)-18))</formula1>
    </dataValidation>
    <dataValidation type="list" errorStyle="warning" allowBlank="1" showInputMessage="1" showErrorMessage="1" sqref="F56:I56" xr:uid="{431554B0-5118-4848-81D0-8B6A6F9CE4D2}">
      <formula1>INDIRECT(_xlfn.CONCAT("担当!I",ROW(A56)-18,":X",ROW(A56)-18))</formula1>
    </dataValidation>
    <dataValidation type="list" errorStyle="information" allowBlank="1" showInputMessage="1" sqref="E57:AK65 J56:AK56 AD31 E31:AB31 E33:AK55 E32:AD32 AE31:AK32 E21:AK30" xr:uid="{86ECD9FF-B598-40A5-B98E-C0A8C8888C06}">
      <formula1>INDIRECT(_xlfn.CONCAT("担当!I",ROW(A21)-18,":X",ROW(A21)-18))</formula1>
    </dataValidation>
  </dataValidations>
  <pageMargins left="0.59055118110236215" right="0.59055118110236215" top="0.59055118110236215" bottom="0.59055118110236215" header="0.31496062992125984" footer="0.31496062992125984"/>
  <pageSetup paperSize="9" scale="34" orientation="portrait" r:id="rId1"/>
  <headerFooter alignWithMargins="0"/>
  <rowBreaks count="1" manualBreakCount="1">
    <brk id="66" max="3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原本</vt:lpstr>
      <vt:lpstr>原本!Print_Area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菅原 光輝</dc:creator>
  <cp:lastModifiedBy>菅原 光輝</cp:lastModifiedBy>
  <dcterms:created xsi:type="dcterms:W3CDTF">2026-06-17T09:45:08Z</dcterms:created>
  <dcterms:modified xsi:type="dcterms:W3CDTF">2026-06-17T15:09:07Z</dcterms:modified>
</cp:coreProperties>
</file>